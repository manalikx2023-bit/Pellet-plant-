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Plant_Baseline" sheetId="3" state="visible" r:id="rId3"/>
    <sheet xmlns:r="http://schemas.openxmlformats.org/officeDocument/2006/relationships" name="UC1_Fuel_Opt" sheetId="4" state="visible" r:id="rId4"/>
    <sheet xmlns:r="http://schemas.openxmlformats.org/officeDocument/2006/relationships" name="UC2_Quality_Pred" sheetId="5" state="visible" r:id="rId5"/>
    <sheet xmlns:r="http://schemas.openxmlformats.org/officeDocument/2006/relationships" name="UC3_Moisture_AI" sheetId="6" state="visible" r:id="rId6"/>
    <sheet xmlns:r="http://schemas.openxmlformats.org/officeDocument/2006/relationships" name="UC4_SR_Opt" sheetId="7" state="visible" r:id="rId7"/>
    <sheet xmlns:r="http://schemas.openxmlformats.org/officeDocument/2006/relationships" name="UC5_Disc_APC" sheetId="8" state="visible" r:id="rId8"/>
    <sheet xmlns:r="http://schemas.openxmlformats.org/officeDocument/2006/relationships" name="UC6_BallMill" sheetId="9" state="visible" r:id="rId9"/>
    <sheet xmlns:r="http://schemas.openxmlformats.org/officeDocument/2006/relationships" name="UC7_PdM" sheetId="10" state="visible" r:id="rId10"/>
    <sheet xmlns:r="http://schemas.openxmlformats.org/officeDocument/2006/relationships" name="Summ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9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b val="1"/>
      <color rgb="00C9962A"/>
      <sz val="13"/>
    </font>
    <font>
      <name val="Arial"/>
      <color rgb="009090A8"/>
      <sz val="10"/>
    </font>
    <font>
      <name val="Arial"/>
      <color rgb="00FFFFFF"/>
      <sz val="10"/>
    </font>
    <font>
      <name val="Arial"/>
      <b val="1"/>
      <color rgb="00FFFFFF"/>
      <sz val="12"/>
    </font>
    <font>
      <name val="Arial"/>
      <color rgb="00B5541C"/>
      <sz val="10"/>
    </font>
    <font>
      <name val="Arial"/>
      <color rgb="001A1A2E"/>
      <sz val="10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b val="1"/>
      <color rgb="001A1A2E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color rgb="00666666"/>
      <sz val="10"/>
    </font>
    <font>
      <name val="Arial"/>
      <color rgb="00444444"/>
      <sz val="10"/>
    </font>
    <font>
      <name val="Arial"/>
      <b val="1"/>
      <color rgb="00000000"/>
      <sz val="10"/>
    </font>
    <font>
      <name val="Arial"/>
      <b val="1"/>
      <color rgb="004A7C59"/>
      <sz val="10"/>
    </font>
    <font>
      <name val="Arial"/>
      <color rgb="00555555"/>
      <sz val="10"/>
    </font>
    <font>
      <name val="Arial"/>
      <b val="1"/>
      <color rgb="00C9962A"/>
      <sz val="10"/>
    </font>
    <font>
      <name val="Arial"/>
      <b val="1"/>
      <color rgb="00CC0000"/>
      <sz val="10"/>
    </font>
    <font>
      <name val="Arial"/>
      <b val="1"/>
      <color rgb="00888888"/>
      <sz val="10"/>
    </font>
    <font>
      <name val="Arial"/>
      <b val="1"/>
      <color rgb="00B5541C"/>
      <sz val="10"/>
    </font>
    <font>
      <name val="Arial"/>
      <color rgb="00333333"/>
      <sz val="10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color rgb="004A7C59"/>
      <sz val="10"/>
    </font>
    <font>
      <name val="Arial"/>
      <color rgb="00CC0000"/>
      <sz val="10"/>
    </font>
    <font>
      <name val="Arial"/>
      <b val="1"/>
      <color rgb="004A7C59"/>
      <sz val="11"/>
    </font>
    <font>
      <name val="Arial"/>
      <i val="1"/>
      <color rgb="00444444"/>
      <sz val="9"/>
    </font>
  </fonts>
  <fills count="12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B5541C"/>
      </patternFill>
    </fill>
    <fill>
      <patternFill patternType="solid">
        <fgColor rgb="00F5E6DC"/>
      </patternFill>
    </fill>
    <fill>
      <patternFill patternType="solid">
        <fgColor rgb="00FFFFFF"/>
      </patternFill>
    </fill>
    <fill>
      <patternFill patternType="solid">
        <fgColor rgb="00FAF8F4"/>
      </patternFill>
    </fill>
    <fill>
      <patternFill patternType="solid">
        <fgColor rgb="00E8E2D8"/>
      </patternFill>
    </fill>
    <fill>
      <patternFill patternType="solid">
        <fgColor rgb="00FDF3DC"/>
      </patternFill>
    </fill>
    <fill>
      <patternFill patternType="solid">
        <fgColor rgb="00DDEEE4"/>
      </patternFill>
    </fill>
    <fill>
      <patternFill patternType="solid">
        <fgColor rgb="00FDE8E6"/>
      </patternFill>
    </fill>
    <fill>
      <patternFill patternType="solid">
        <fgColor rgb="004A7C59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vertical="center" wrapText="1"/>
    </xf>
    <xf numFmtId="0" fontId="7" fillId="7" borderId="0" applyAlignment="1" pivotButton="0" quotePrefix="0" xfId="0">
      <alignment horizontal="left" vertical="center" wrapText="1"/>
    </xf>
    <xf numFmtId="0" fontId="8" fillId="8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9" fillId="3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right" vertical="center"/>
    </xf>
    <xf numFmtId="0" fontId="11" fillId="8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left" vertical="center" wrapText="1"/>
    </xf>
    <xf numFmtId="0" fontId="14" fillId="5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right" vertical="center"/>
    </xf>
    <xf numFmtId="0" fontId="11" fillId="6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right" vertical="center"/>
    </xf>
    <xf numFmtId="4" fontId="12" fillId="8" borderId="1" applyAlignment="1" pivotButton="0" quotePrefix="0" xfId="0">
      <alignment horizontal="right" vertical="center"/>
    </xf>
    <xf numFmtId="4" fontId="12" fillId="6" borderId="1" applyAlignment="1" pivotButton="0" quotePrefix="0" xfId="0">
      <alignment horizontal="right" vertical="center"/>
    </xf>
    <xf numFmtId="4" fontId="12" fillId="5" borderId="1" applyAlignment="1" pivotButton="0" quotePrefix="0" xfId="0">
      <alignment horizontal="right" vertical="center"/>
    </xf>
    <xf numFmtId="0" fontId="10" fillId="7" borderId="1" applyAlignment="1" pivotButton="0" quotePrefix="0" xfId="0">
      <alignment horizontal="left" vertical="center" wrapText="1"/>
    </xf>
    <xf numFmtId="4" fontId="15" fillId="5" borderId="1" applyAlignment="1" pivotButton="0" quotePrefix="0" xfId="0">
      <alignment horizontal="right" vertical="center"/>
    </xf>
    <xf numFmtId="0" fontId="16" fillId="9" borderId="1" applyAlignment="1" pivotButton="0" quotePrefix="0" xfId="0">
      <alignment horizontal="center" vertical="center" wrapText="1"/>
    </xf>
    <xf numFmtId="4" fontId="16" fillId="5" borderId="1" applyAlignment="1" pivotButton="0" quotePrefix="0" xfId="0">
      <alignment horizontal="right" vertical="center"/>
    </xf>
    <xf numFmtId="0" fontId="17" fillId="5" borderId="1" applyAlignment="1" pivotButton="0" quotePrefix="0" xfId="0">
      <alignment horizontal="left" vertical="center" wrapText="1"/>
    </xf>
    <xf numFmtId="0" fontId="15" fillId="6" borderId="1" applyAlignment="1" pivotButton="0" quotePrefix="0" xfId="0">
      <alignment horizontal="right" vertical="center"/>
    </xf>
    <xf numFmtId="0" fontId="16" fillId="6" borderId="1" applyAlignment="1" pivotButton="0" quotePrefix="0" xfId="0">
      <alignment horizontal="right" vertical="center"/>
    </xf>
    <xf numFmtId="0" fontId="17" fillId="6" borderId="1" applyAlignment="1" pivotButton="0" quotePrefix="0" xfId="0">
      <alignment horizontal="left" vertical="center" wrapText="1"/>
    </xf>
    <xf numFmtId="4" fontId="15" fillId="6" borderId="1" applyAlignment="1" pivotButton="0" quotePrefix="0" xfId="0">
      <alignment horizontal="right" vertical="center"/>
    </xf>
    <xf numFmtId="0" fontId="18" fillId="8" borderId="1" applyAlignment="1" pivotButton="0" quotePrefix="0" xfId="0">
      <alignment horizontal="center" vertical="center" wrapText="1"/>
    </xf>
    <xf numFmtId="4" fontId="16" fillId="6" borderId="1" applyAlignment="1" pivotButton="0" quotePrefix="0" xfId="0">
      <alignment horizontal="right" vertical="center"/>
    </xf>
    <xf numFmtId="0" fontId="19" fillId="10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right" vertical="center"/>
    </xf>
    <xf numFmtId="0" fontId="16" fillId="5" borderId="1" applyAlignment="1" pivotButton="0" quotePrefix="0" xfId="0">
      <alignment horizontal="right" vertical="center"/>
    </xf>
    <xf numFmtId="0" fontId="9" fillId="2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left" vertical="center" wrapText="1"/>
    </xf>
    <xf numFmtId="4" fontId="19" fillId="6" borderId="1" applyAlignment="1" pivotButton="0" quotePrefix="0" xfId="0">
      <alignment horizontal="right" vertical="center"/>
    </xf>
    <xf numFmtId="0" fontId="15" fillId="5" borderId="1" applyAlignment="1" pivotButton="0" quotePrefix="0" xfId="0">
      <alignment horizontal="left" vertical="center" wrapText="1"/>
    </xf>
    <xf numFmtId="4" fontId="19" fillId="5" borderId="1" applyAlignment="1" pivotButton="0" quotePrefix="0" xfId="0">
      <alignment horizontal="right" vertical="center"/>
    </xf>
    <xf numFmtId="0" fontId="9" fillId="11" borderId="1" applyAlignment="1" pivotButton="0" quotePrefix="0" xfId="0">
      <alignment horizontal="center" vertical="center" wrapText="1"/>
    </xf>
    <xf numFmtId="4" fontId="16" fillId="9" borderId="1" applyAlignment="1" pivotButton="0" quotePrefix="0" xfId="0">
      <alignment horizontal="right" vertical="center"/>
    </xf>
    <xf numFmtId="0" fontId="11" fillId="6" borderId="1" applyAlignment="1" pivotButton="0" quotePrefix="0" xfId="0">
      <alignment horizontal="right" vertical="center"/>
    </xf>
    <xf numFmtId="4" fontId="5" fillId="3" borderId="1" applyAlignment="1" pivotButton="0" quotePrefix="0" xfId="0">
      <alignment horizontal="right" vertical="center"/>
    </xf>
    <xf numFmtId="0" fontId="0" fillId="4" borderId="1" pivotButton="0" quotePrefix="0" xfId="0"/>
    <xf numFmtId="0" fontId="21" fillId="4" borderId="1" applyAlignment="1" pivotButton="0" quotePrefix="0" xfId="0">
      <alignment horizontal="left" vertical="center" wrapText="1"/>
    </xf>
    <xf numFmtId="0" fontId="22" fillId="6" borderId="1" applyAlignment="1" pivotButton="0" quotePrefix="0" xfId="0">
      <alignment horizontal="left" vertical="center" wrapText="1"/>
    </xf>
    <xf numFmtId="0" fontId="17" fillId="6" borderId="1" applyAlignment="1" pivotButton="0" quotePrefix="0" xfId="0">
      <alignment horizontal="center" vertical="center" wrapText="1"/>
    </xf>
    <xf numFmtId="0" fontId="22" fillId="5" borderId="1" applyAlignment="1" pivotButton="0" quotePrefix="0" xfId="0">
      <alignment horizontal="left" vertical="center" wrapText="1"/>
    </xf>
    <xf numFmtId="0" fontId="17" fillId="5" borderId="1" applyAlignment="1" pivotButton="0" quotePrefix="0" xfId="0">
      <alignment horizontal="center" vertical="center" wrapText="1"/>
    </xf>
    <xf numFmtId="0" fontId="18" fillId="8" borderId="1" applyAlignment="1" pivotButton="0" quotePrefix="0" xfId="0">
      <alignment horizontal="left" vertical="center" wrapText="1"/>
    </xf>
    <xf numFmtId="0" fontId="16" fillId="9" borderId="1" applyAlignment="1" pivotButton="0" quotePrefix="0" xfId="0">
      <alignment horizontal="left" vertical="center" wrapText="1"/>
    </xf>
    <xf numFmtId="0" fontId="19" fillId="6" borderId="1" applyAlignment="1" pivotButton="0" quotePrefix="0" xfId="0">
      <alignment horizontal="right" vertical="center"/>
    </xf>
    <xf numFmtId="0" fontId="19" fillId="5" borderId="1" applyAlignment="1" pivotButton="0" quotePrefix="0" xfId="0">
      <alignment horizontal="right" vertical="center"/>
    </xf>
    <xf numFmtId="0" fontId="23" fillId="2" borderId="1" applyAlignment="1" pivotButton="0" quotePrefix="0" xfId="0">
      <alignment horizontal="center" vertical="center" wrapText="1"/>
    </xf>
    <xf numFmtId="0" fontId="24" fillId="11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 vertical="center" wrapText="1"/>
    </xf>
    <xf numFmtId="0" fontId="25" fillId="9" borderId="1" applyAlignment="1" pivotButton="0" quotePrefix="0" xfId="0">
      <alignment horizontal="center" vertical="center" wrapText="1"/>
    </xf>
    <xf numFmtId="0" fontId="26" fillId="10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4" fontId="27" fillId="9" borderId="1" applyAlignment="1" pivotButton="0" quotePrefix="0" xfId="0">
      <alignment horizontal="right" vertical="center"/>
    </xf>
    <xf numFmtId="0" fontId="21" fillId="6" borderId="1" applyAlignment="1" pivotButton="0" quotePrefix="0" xfId="0">
      <alignment horizontal="left" vertical="center" wrapText="1"/>
    </xf>
    <xf numFmtId="0" fontId="21" fillId="5" borderId="1" applyAlignment="1" pivotButton="0" quotePrefix="0" xfId="0">
      <alignment horizontal="left" vertical="center" wrapText="1"/>
    </xf>
    <xf numFmtId="4" fontId="23" fillId="3" borderId="1" applyAlignment="1" pivotButton="0" quotePrefix="0" xfId="0">
      <alignment horizontal="right" vertical="center"/>
    </xf>
    <xf numFmtId="0" fontId="28" fillId="6" borderId="1" applyAlignment="1" pivotButton="0" quotePrefix="0" xfId="0">
      <alignment horizontal="left" vertical="center" wrapText="1"/>
    </xf>
    <xf numFmtId="0" fontId="28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19"/>
  <sheetViews>
    <sheetView showGridLines="0" workbookViewId="0">
      <selection activeCell="A1" sqref="A1"/>
    </sheetView>
  </sheetViews>
  <sheetFormatPr baseColWidth="8" defaultRowHeight="15"/>
  <cols>
    <col width="60" customWidth="1" min="1" max="1"/>
  </cols>
  <sheetData>
    <row r="1" ht="8" customHeight="1"/>
    <row r="2" ht="40" customHeight="1">
      <c r="A2" s="1" t="inlineStr">
        <is>
          <t>PELLET-IQ — BUSINESS VALUE MODEL</t>
        </is>
      </c>
    </row>
    <row r="3" ht="28" customHeight="1">
      <c r="A3" s="2" t="inlineStr">
        <is>
          <t>Iron Ore Pellet Plant · AM/NS India Vizag</t>
        </is>
      </c>
    </row>
    <row r="4" ht="20" customHeight="1">
      <c r="A4" s="3" t="inlineStr">
        <is>
          <t>Capacity: 8 MTPA  |  Technology: Straight Grate  |  Location: Visakhapatnam</t>
        </is>
      </c>
    </row>
    <row r="5" ht="10" customHeight="1">
      <c r="A5" s="4" t="inlineStr"/>
    </row>
    <row r="6" ht="28" customHeight="1">
      <c r="A6" s="5" t="inlineStr">
        <is>
          <t>AI Transformation Program — Financial Impact Quantification</t>
        </is>
      </c>
    </row>
    <row r="7" ht="20" customHeight="1">
      <c r="A7" s="6" t="inlineStr">
        <is>
          <t>Prepared by: Capgemini Engineering  |  Confidential — Draft for Client Review</t>
        </is>
      </c>
    </row>
    <row r="8" ht="8" customHeight="1">
      <c r="A8" s="7" t="inlineStr"/>
    </row>
    <row r="9" ht="18" customHeight="1">
      <c r="A9" s="8" t="inlineStr">
        <is>
          <t xml:space="preserve">  → Assumptions  |  Master assumptions — all inputs in BLUE</t>
        </is>
      </c>
    </row>
    <row r="10" ht="18" customHeight="1">
      <c r="A10" s="9" t="inlineStr">
        <is>
          <t xml:space="preserve">  → Plant_Baseline  |  Current plant operating KPIs at 8 MTPA</t>
        </is>
      </c>
    </row>
    <row r="11" ht="18" customHeight="1">
      <c r="A11" s="8" t="inlineStr">
        <is>
          <t xml:space="preserve">  → UC1_Fuel_Opt  |  Use Case 1: Furnace Fuel Optimization</t>
        </is>
      </c>
    </row>
    <row r="12" ht="18" customHeight="1">
      <c r="A12" s="9" t="inlineStr">
        <is>
          <t xml:space="preserve">  → UC2_Quality_Pred  |  Use Case 2: Pellet Quality Prediction</t>
        </is>
      </c>
    </row>
    <row r="13" ht="18" customHeight="1">
      <c r="A13" s="8" t="inlineStr">
        <is>
          <t xml:space="preserve">  → UC3_Moisture_AI  |  Use Case 3: Moisture Control AI</t>
        </is>
      </c>
    </row>
    <row r="14" ht="18" customHeight="1">
      <c r="A14" s="9" t="inlineStr">
        <is>
          <t xml:space="preserve">  → UC4_SR_Opt  |  Use Case 4: Stacker Reclaimer Optimization</t>
        </is>
      </c>
    </row>
    <row r="15" ht="18" customHeight="1">
      <c r="A15" s="8" t="inlineStr">
        <is>
          <t xml:space="preserve">  → UC5_Disc_APC  |  Use Case 5: Disc Pelletizer APC</t>
        </is>
      </c>
    </row>
    <row r="16" ht="18" customHeight="1">
      <c r="A16" s="9" t="inlineStr">
        <is>
          <t xml:space="preserve">  → UC6_BallMill  |  Use Case 6: Ball Mill Optimization</t>
        </is>
      </c>
    </row>
    <row r="17" ht="18" customHeight="1">
      <c r="A17" s="8" t="inlineStr">
        <is>
          <t xml:space="preserve">  → UC7_PdM  |  Use Case 7: Predictive Maintenance</t>
        </is>
      </c>
    </row>
    <row r="18" ht="18" customHeight="1">
      <c r="A18" s="9" t="inlineStr">
        <is>
          <t xml:space="preserve">  → Summary  |  Business Value Summary &amp; Waterfall</t>
        </is>
      </c>
    </row>
    <row r="19" ht="18" customHeight="1">
      <c r="A19" s="10" t="inlineStr">
        <is>
          <t xml:space="preserve">  Color Legend:  BLUE = Input Assumption  |  BLACK = Formula  |  GREEN = Cross-sheet link  |  YELLOW = Key assumption needing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14" customWidth="1" min="3" max="3"/>
    <col width="14" customWidth="1" min="4" max="4"/>
    <col width="40" customWidth="1" min="5" max="5"/>
  </cols>
  <sheetData>
    <row r="1">
      <c r="A1" s="11" t="inlineStr">
        <is>
          <t>MASTER ASSUMPTIONS — ALL AI USE CASES</t>
        </is>
      </c>
      <c r="B1" s="12" t="n"/>
      <c r="C1" s="12" t="n"/>
      <c r="D1" s="12" t="n"/>
      <c r="E1" s="13" t="n"/>
    </row>
    <row r="2">
      <c r="A2" s="14" t="inlineStr">
        <is>
          <t>Parameter</t>
        </is>
      </c>
      <c r="B2" s="14" t="inlineStr">
        <is>
          <t>Value</t>
        </is>
      </c>
      <c r="C2" s="14" t="inlineStr">
        <is>
          <t>Unit</t>
        </is>
      </c>
      <c r="D2" s="14" t="inlineStr">
        <is>
          <t>Source</t>
        </is>
      </c>
      <c r="E2" s="14" t="inlineStr">
        <is>
          <t>Notes / Rationale</t>
        </is>
      </c>
    </row>
    <row r="3">
      <c r="A3" s="15" t="inlineStr">
        <is>
          <t>── PLANT SCALE &amp; OPERATIONS ──</t>
        </is>
      </c>
      <c r="B3" s="12" t="n"/>
      <c r="C3" s="12" t="n"/>
      <c r="D3" s="12" t="n"/>
      <c r="E3" s="13" t="n"/>
    </row>
    <row r="4">
      <c r="A4" s="16" t="inlineStr">
        <is>
          <t>Plant Capacity (Design)</t>
        </is>
      </c>
      <c r="B4" s="17" t="n">
        <v>8</v>
      </c>
      <c r="C4" s="18" t="inlineStr">
        <is>
          <t>MTPA</t>
        </is>
      </c>
      <c r="D4" s="19" t="inlineStr">
        <is>
          <t>AM/NS Vizag plant data</t>
        </is>
      </c>
      <c r="E4" s="20" t="inlineStr">
        <is>
          <t>Nameplate capacity post expansion — 8 MTPA</t>
        </is>
      </c>
    </row>
    <row r="5">
      <c r="A5" s="21" t="inlineStr">
        <is>
          <t>Operating Days per Year</t>
        </is>
      </c>
      <c r="B5" s="22" t="n">
        <v>330</v>
      </c>
      <c r="C5" s="23" t="inlineStr">
        <is>
          <t>days/yr</t>
        </is>
      </c>
      <c r="D5" s="24" t="inlineStr">
        <is>
          <t>Industry standard</t>
        </is>
      </c>
      <c r="E5" s="25" t="inlineStr">
        <is>
          <t>Allow 35 days scheduled + unscheduled maintenance</t>
        </is>
      </c>
    </row>
    <row r="6">
      <c r="A6" s="26" t="inlineStr">
        <is>
          <t>Operating Hours per Day</t>
        </is>
      </c>
      <c r="B6" s="27" t="n">
        <v>22</v>
      </c>
      <c r="C6" s="28" t="inlineStr">
        <is>
          <t>hrs/day</t>
        </is>
      </c>
      <c r="D6" s="29" t="inlineStr">
        <is>
          <t>Plant operations</t>
        </is>
      </c>
      <c r="E6" s="30" t="inlineStr">
        <is>
          <t>2 hr/day for maintenance windows</t>
        </is>
      </c>
    </row>
    <row r="7">
      <c r="A7" s="21" t="inlineStr">
        <is>
          <t>Annual Operating Hours</t>
        </is>
      </c>
      <c r="B7" s="31" t="n">
        <v>7260</v>
      </c>
      <c r="C7" s="23" t="inlineStr">
        <is>
          <t>hrs/yr</t>
        </is>
      </c>
      <c r="D7" s="24">
        <f>B5*B6</f>
        <v/>
      </c>
      <c r="E7" s="25" t="inlineStr">
        <is>
          <t>Derived from operating days × hrs/day</t>
        </is>
      </c>
    </row>
    <row r="8">
      <c r="A8" s="26" t="inlineStr">
        <is>
          <t>Current Production Rate</t>
        </is>
      </c>
      <c r="B8" s="27" t="n">
        <v>1010</v>
      </c>
      <c r="C8" s="28" t="inlineStr">
        <is>
          <t>t/h</t>
        </is>
      </c>
      <c r="D8" s="29" t="inlineStr">
        <is>
          <t>8MT/(330days×24hrs)</t>
        </is>
      </c>
      <c r="E8" s="30" t="inlineStr">
        <is>
          <t>Effective = 8,000,000 / (330×24) ≈ 1,010 t/h</t>
        </is>
      </c>
    </row>
    <row r="9">
      <c r="A9" s="21" t="inlineStr">
        <is>
          <t>Pellet Selling Price (BF Grade)</t>
        </is>
      </c>
      <c r="B9" s="22" t="n">
        <v>8500</v>
      </c>
      <c r="C9" s="23" t="inlineStr">
        <is>
          <t>₹/t</t>
        </is>
      </c>
      <c r="D9" s="24" t="inlineStr">
        <is>
          <t>Market reference Q1-2025</t>
        </is>
      </c>
      <c r="E9" s="25" t="inlineStr">
        <is>
          <t>AM/NS internal transfer price to BF — approx ₹8,500/t</t>
        </is>
      </c>
    </row>
    <row r="10">
      <c r="A10" s="16" t="inlineStr">
        <is>
          <t>Pellet Selling Price (DRI Grade, premium)</t>
        </is>
      </c>
      <c r="B10" s="17" t="n">
        <v>9200</v>
      </c>
      <c r="C10" s="18" t="inlineStr">
        <is>
          <t>₹/t</t>
        </is>
      </c>
      <c r="D10" s="19" t="inlineStr">
        <is>
          <t>Market premium</t>
        </is>
      </c>
      <c r="E10" s="20" t="inlineStr">
        <is>
          <t>DRI-grade pellet commands ~8% premium</t>
        </is>
      </c>
    </row>
    <row r="11">
      <c r="A11" s="15" t="inlineStr">
        <is>
          <t>── ENERGY COSTS ──</t>
        </is>
      </c>
      <c r="B11" s="12" t="n"/>
      <c r="C11" s="12" t="n"/>
      <c r="D11" s="12" t="n"/>
      <c r="E11" s="13" t="n"/>
    </row>
    <row r="12">
      <c r="A12" s="16" t="inlineStr">
        <is>
          <t>Current Specific Fuel Consumption</t>
        </is>
      </c>
      <c r="B12" s="32" t="n">
        <v>62.4</v>
      </c>
      <c r="C12" s="18" t="inlineStr">
        <is>
          <t>Mcal/t</t>
        </is>
      </c>
      <c r="D12" s="19" t="inlineStr">
        <is>
          <t>PI Historian avg 2024</t>
        </is>
      </c>
      <c r="E12" s="20" t="inlineStr">
        <is>
          <t>Average of last 12 months; range 58–68 Mcal/t</t>
        </is>
      </c>
    </row>
    <row r="13">
      <c r="A13" s="16" t="inlineStr">
        <is>
          <t>Target Specific Fuel (AI-optimized)</t>
        </is>
      </c>
      <c r="B13" s="32" t="n">
        <v>55</v>
      </c>
      <c r="C13" s="18" t="inlineStr">
        <is>
          <t>Mcal/t</t>
        </is>
      </c>
      <c r="D13" s="19" t="inlineStr">
        <is>
          <t>Industry benchmark</t>
        </is>
      </c>
      <c r="E13" s="20" t="inlineStr">
        <is>
          <t>Best-in-class India: JSPL ~56; Global: Samarco ~52</t>
        </is>
      </c>
    </row>
    <row r="14">
      <c r="A14" s="26" t="inlineStr">
        <is>
          <t>Natural Gas Price (COREX+NG blend)</t>
        </is>
      </c>
      <c r="B14" s="33" t="n">
        <v>41.7</v>
      </c>
      <c r="C14" s="28" t="inlineStr">
        <is>
          <t>₹/Mcal</t>
        </is>
      </c>
      <c r="D14" s="29" t="inlineStr">
        <is>
          <t>AM/NS fuel cost 2024</t>
        </is>
      </c>
      <c r="E14" s="30" t="inlineStr">
        <is>
          <t>Blended COREX gas + NG; source: plant energy data</t>
        </is>
      </c>
    </row>
    <row r="15">
      <c r="A15" s="21" t="inlineStr">
        <is>
          <t>Total Annual Fuel Cost (Current)</t>
        </is>
      </c>
      <c r="B15" s="31">
        <f>B8*B5*24*B12*B14/10000000</f>
        <v/>
      </c>
      <c r="C15" s="23" t="inlineStr">
        <is>
          <t>₹ Crore</t>
        </is>
      </c>
      <c r="D15" s="24" t="inlineStr">
        <is>
          <t>Calculated</t>
        </is>
      </c>
      <c r="E15" s="25">
        <f> Production t/h × hrs/yr × Mcal/t × ₹/Mcal / 1Cr</f>
        <v/>
      </c>
    </row>
    <row r="16">
      <c r="A16" s="26" t="inlineStr">
        <is>
          <t>Electricity Cost</t>
        </is>
      </c>
      <c r="B16" s="33" t="n">
        <v>5.8</v>
      </c>
      <c r="C16" s="28" t="inlineStr">
        <is>
          <t>₹/kWh</t>
        </is>
      </c>
      <c r="D16" s="29" t="inlineStr">
        <is>
          <t>APEPDCL industrial tariff 2024</t>
        </is>
      </c>
      <c r="E16" s="30" t="inlineStr">
        <is>
          <t>AP state industrial tariff</t>
        </is>
      </c>
    </row>
    <row r="17">
      <c r="A17" s="21" t="inlineStr">
        <is>
          <t>Specific Power — Grinding</t>
        </is>
      </c>
      <c r="B17" s="34" t="n">
        <v>14.8</v>
      </c>
      <c r="C17" s="23" t="inlineStr">
        <is>
          <t>kWh/t</t>
        </is>
      </c>
      <c r="D17" s="24" t="inlineStr">
        <is>
          <t>Plant data</t>
        </is>
      </c>
      <c r="E17" s="25" t="inlineStr">
        <is>
          <t>Ball mill + classifier circuit</t>
        </is>
      </c>
    </row>
    <row r="18">
      <c r="A18" s="15" t="inlineStr">
        <is>
          <t>── QUALITY &amp; REVENUE IMPACT ──</t>
        </is>
      </c>
      <c r="B18" s="12" t="n"/>
      <c r="C18" s="12" t="n"/>
      <c r="D18" s="12" t="n"/>
      <c r="E18" s="13" t="n"/>
    </row>
    <row r="19">
      <c r="A19" s="16" t="inlineStr">
        <is>
          <t>Current CCS</t>
        </is>
      </c>
      <c r="B19" s="17" t="n">
        <v>234</v>
      </c>
      <c r="C19" s="18" t="inlineStr">
        <is>
          <t>daN/p</t>
        </is>
      </c>
      <c r="D19" s="19" t="inlineStr">
        <is>
          <t>LIMS data avg 2024</t>
        </is>
      </c>
      <c r="E19" s="20" t="inlineStr">
        <is>
          <t>Lab average; range 220–252 daN/p</t>
        </is>
      </c>
    </row>
    <row r="20">
      <c r="A20" s="26" t="inlineStr">
        <is>
          <t>Target CCS (AI)</t>
        </is>
      </c>
      <c r="B20" s="27" t="n">
        <v>258</v>
      </c>
      <c r="C20" s="28" t="inlineStr">
        <is>
          <t>daN/p</t>
        </is>
      </c>
      <c r="D20" s="29" t="inlineStr">
        <is>
          <t>Process model target</t>
        </is>
      </c>
      <c r="E20" s="30" t="inlineStr">
        <is>
          <t>Based on optimal firing profile analysis</t>
        </is>
      </c>
    </row>
    <row r="21">
      <c r="A21" s="21" t="inlineStr">
        <is>
          <t>CCS below spec rejection rate</t>
        </is>
      </c>
      <c r="B21" s="34" t="n">
        <v>4.2</v>
      </c>
      <c r="C21" s="23" t="inlineStr">
        <is>
          <t>%</t>
        </is>
      </c>
      <c r="D21" s="24" t="inlineStr">
        <is>
          <t>Plant quality records</t>
        </is>
      </c>
      <c r="E21" s="25" t="inlineStr">
        <is>
          <t>Pellets failing &gt;250 daN/p dispatched at discount</t>
        </is>
      </c>
    </row>
    <row r="22">
      <c r="A22" s="26" t="inlineStr">
        <is>
          <t>Quality rejection discount</t>
        </is>
      </c>
      <c r="B22" s="27" t="n">
        <v>450</v>
      </c>
      <c r="C22" s="28" t="inlineStr">
        <is>
          <t>₹/t</t>
        </is>
      </c>
      <c r="D22" s="29" t="inlineStr">
        <is>
          <t>Commercial terms</t>
        </is>
      </c>
      <c r="E22" s="30" t="inlineStr">
        <is>
          <t>Off-spec pellet sold at ₹450/t discount vs on-spec</t>
        </is>
      </c>
    </row>
    <row r="23">
      <c r="A23" s="16" t="inlineStr">
        <is>
          <t>Current On-Size Yield</t>
        </is>
      </c>
      <c r="B23" s="32" t="n">
        <v>86.40000000000001</v>
      </c>
      <c r="C23" s="18" t="inlineStr">
        <is>
          <t>%</t>
        </is>
      </c>
      <c r="D23" s="19" t="inlineStr">
        <is>
          <t>Screen data 2024</t>
        </is>
      </c>
      <c r="E23" s="20" t="inlineStr">
        <is>
          <t>10–16 mm fraction; target 88%</t>
        </is>
      </c>
    </row>
    <row r="24">
      <c r="A24" s="26" t="inlineStr">
        <is>
          <t>Target On-Size Yield (AI)</t>
        </is>
      </c>
      <c r="B24" s="33" t="n">
        <v>89.8</v>
      </c>
      <c r="C24" s="28" t="inlineStr">
        <is>
          <t>%</t>
        </is>
      </c>
      <c r="D24" s="29" t="inlineStr">
        <is>
          <t>Disc APC model</t>
        </is>
      </c>
      <c r="E24" s="30" t="inlineStr">
        <is>
          <t>Based on D50 control improvement benchmark</t>
        </is>
      </c>
    </row>
    <row r="25">
      <c r="A25" s="21" t="inlineStr">
        <is>
          <t>Annual Production (tonnes)</t>
        </is>
      </c>
      <c r="B25" s="31" t="n">
        <v>8000000</v>
      </c>
      <c r="C25" s="23" t="inlineStr">
        <is>
          <t>t/yr</t>
        </is>
      </c>
      <c r="D25" s="24">
        <f>B4*1000000</f>
        <v/>
      </c>
      <c r="E25" s="25" t="inlineStr">
        <is>
          <t>8 MTPA = 8,000,000 t/yr</t>
        </is>
      </c>
    </row>
    <row r="26">
      <c r="A26" s="15" t="inlineStr">
        <is>
          <t>── MAINTENANCE &amp; DOWNTIME ──</t>
        </is>
      </c>
      <c r="B26" s="12" t="n"/>
      <c r="C26" s="12" t="n"/>
      <c r="D26" s="12" t="n"/>
      <c r="E26" s="13" t="n"/>
    </row>
    <row r="27">
      <c r="A27" s="21" t="inlineStr">
        <is>
          <t>Current Unplanned Downtime</t>
        </is>
      </c>
      <c r="B27" s="34" t="n">
        <v>6.2</v>
      </c>
      <c r="C27" s="23" t="inlineStr">
        <is>
          <t>%</t>
        </is>
      </c>
      <c r="D27" s="24" t="inlineStr">
        <is>
          <t>Maintenance records 2024</t>
        </is>
      </c>
      <c r="E27" s="25" t="inlineStr">
        <is>
          <t>% of planned operating hours; ~450 hrs/yr</t>
        </is>
      </c>
    </row>
    <row r="28">
      <c r="A28" s="16" t="inlineStr">
        <is>
          <t>Target Unplanned Downtime (AI PdM)</t>
        </is>
      </c>
      <c r="B28" s="32" t="n">
        <v>3.8</v>
      </c>
      <c r="C28" s="18" t="inlineStr">
        <is>
          <t>%</t>
        </is>
      </c>
      <c r="D28" s="19" t="inlineStr">
        <is>
          <t>PdM benchmark</t>
        </is>
      </c>
      <c r="E28" s="20" t="inlineStr">
        <is>
          <t>Industry benchmark with PdM: 3–4%</t>
        </is>
      </c>
    </row>
    <row r="29">
      <c r="A29" s="21" t="inlineStr">
        <is>
          <t>Production Loss per Downtime Hour</t>
        </is>
      </c>
      <c r="B29" s="22" t="n">
        <v>1010</v>
      </c>
      <c r="C29" s="23" t="inlineStr">
        <is>
          <t>t</t>
        </is>
      </c>
      <c r="D29" s="24">
        <f>B8</f>
        <v/>
      </c>
      <c r="E29" s="25">
        <f> effective production rate</f>
        <v/>
      </c>
    </row>
    <row r="30">
      <c r="A30" s="26" t="inlineStr">
        <is>
          <t>Cost per Unplanned Downtime Hour</t>
        </is>
      </c>
      <c r="B30" s="33" t="n">
        <v>8.5</v>
      </c>
      <c r="C30" s="28" t="inlineStr">
        <is>
          <t>₹ Lakh/hr</t>
        </is>
      </c>
      <c r="D30" s="29" t="inlineStr">
        <is>
          <t>Estimated</t>
        </is>
      </c>
      <c r="E30" s="30" t="inlineStr">
        <is>
          <t>Lost margin + restart costs + labor</t>
        </is>
      </c>
    </row>
    <row r="31">
      <c r="A31" s="21" t="inlineStr">
        <is>
          <t>Annual Maintenance Spend</t>
        </is>
      </c>
      <c r="B31" s="22" t="n">
        <v>125</v>
      </c>
      <c r="C31" s="23" t="inlineStr">
        <is>
          <t>₹ Crore</t>
        </is>
      </c>
      <c r="D31" s="24" t="inlineStr">
        <is>
          <t>AM/NS budget reference</t>
        </is>
      </c>
      <c r="E31" s="25" t="inlineStr">
        <is>
          <t>Approximate for 8 MTPA plant</t>
        </is>
      </c>
    </row>
    <row r="32">
      <c r="A32" s="26" t="inlineStr">
        <is>
          <t>Maintenance saving with PdM</t>
        </is>
      </c>
      <c r="B32" s="27" t="n">
        <v>15</v>
      </c>
      <c r="C32" s="28" t="inlineStr">
        <is>
          <t>%</t>
        </is>
      </c>
      <c r="D32" s="29" t="inlineStr">
        <is>
          <t>Industry benchmark</t>
        </is>
      </c>
      <c r="E32" s="30" t="inlineStr">
        <is>
          <t>Reduce corrective maintenance spend</t>
        </is>
      </c>
    </row>
    <row r="33">
      <c r="A33" s="15" t="inlineStr">
        <is>
          <t>── AI PROGRAM IMPLEMENTATION COST ──</t>
        </is>
      </c>
      <c r="B33" s="12" t="n"/>
      <c r="C33" s="12" t="n"/>
      <c r="D33" s="12" t="n"/>
      <c r="E33" s="13" t="n"/>
    </row>
    <row r="34">
      <c r="A34" s="26" t="inlineStr">
        <is>
          <t>Phase 1 Implementation Cost</t>
        </is>
      </c>
      <c r="B34" s="27" t="n">
        <v>18</v>
      </c>
      <c r="C34" s="28" t="inlineStr">
        <is>
          <t>₹ Crore</t>
        </is>
      </c>
      <c r="D34" s="29" t="inlineStr">
        <is>
          <t>Capgemini estimate</t>
        </is>
      </c>
      <c r="E34" s="30" t="inlineStr">
        <is>
          <t>Fuel opt + Quality pred + Moisture AI (0-12 months)</t>
        </is>
      </c>
    </row>
    <row r="35">
      <c r="A35" s="21" t="inlineStr">
        <is>
          <t>Phase 2 Implementation Cost</t>
        </is>
      </c>
      <c r="B35" s="22" t="n">
        <v>14</v>
      </c>
      <c r="C35" s="23" t="inlineStr">
        <is>
          <t>₹ Crore</t>
        </is>
      </c>
      <c r="D35" s="24" t="inlineStr">
        <is>
          <t>Capgemini estimate</t>
        </is>
      </c>
      <c r="E35" s="25" t="inlineStr">
        <is>
          <t>SR opt + Disc APC + Ball Mill opt (12-24 months)</t>
        </is>
      </c>
    </row>
    <row r="36">
      <c r="A36" s="26" t="inlineStr">
        <is>
          <t>Phase 3 Implementation Cost</t>
        </is>
      </c>
      <c r="B36" s="27" t="n">
        <v>12</v>
      </c>
      <c r="C36" s="28" t="inlineStr">
        <is>
          <t>₹ Crore</t>
        </is>
      </c>
      <c r="D36" s="29" t="inlineStr">
        <is>
          <t>Capgemini estimate</t>
        </is>
      </c>
      <c r="E36" s="30" t="inlineStr">
        <is>
          <t>PdM + Digital Twin (24-36 months)</t>
        </is>
      </c>
    </row>
    <row r="37">
      <c r="A37" s="21" t="inlineStr">
        <is>
          <t>Annual License &amp; Support (SaaS/Run)</t>
        </is>
      </c>
      <c r="B37" s="22" t="n">
        <v>6</v>
      </c>
      <c r="C37" s="23" t="inlineStr">
        <is>
          <t>₹ Crore/yr</t>
        </is>
      </c>
      <c r="D37" s="24" t="inlineStr">
        <is>
          <t>Estimate</t>
        </is>
      </c>
      <c r="E37" s="25" t="inlineStr">
        <is>
          <t>Post go-live platform + support cost</t>
        </is>
      </c>
    </row>
    <row r="38">
      <c r="A38" s="16" t="inlineStr">
        <is>
          <t>Discount Rate (WACC)</t>
        </is>
      </c>
      <c r="B38" s="17" t="n">
        <v>12</v>
      </c>
      <c r="C38" s="18" t="inlineStr">
        <is>
          <t>%</t>
        </is>
      </c>
      <c r="D38" s="19" t="inlineStr">
        <is>
          <t>AM/NS WACC estimate</t>
        </is>
      </c>
      <c r="E38" s="20" t="inlineStr">
        <is>
          <t>For NPV calculations</t>
        </is>
      </c>
    </row>
    <row r="39">
      <c r="A39" s="21" t="inlineStr">
        <is>
          <t>Benefit Ramp-Up (Year 1)</t>
        </is>
      </c>
      <c r="B39" s="22" t="n">
        <v>60</v>
      </c>
      <c r="C39" s="23" t="inlineStr">
        <is>
          <t>%</t>
        </is>
      </c>
      <c r="D39" s="24" t="inlineStr">
        <is>
          <t>Conservative</t>
        </is>
      </c>
      <c r="E39" s="25" t="inlineStr">
        <is>
          <t>60% of full benefit in Year 1 due to ramp-up</t>
        </is>
      </c>
    </row>
    <row r="40">
      <c r="A40" s="26" t="inlineStr">
        <is>
          <t>Benefit Ramp-Up (Year 2+)</t>
        </is>
      </c>
      <c r="B40" s="27" t="n">
        <v>100</v>
      </c>
      <c r="C40" s="28" t="inlineStr">
        <is>
          <t>%</t>
        </is>
      </c>
      <c r="D40" s="29" t="inlineStr">
        <is>
          <t>Conservative</t>
        </is>
      </c>
      <c r="E40" s="30" t="inlineStr">
        <is>
          <t>Full benefit from Year 2 onwards</t>
        </is>
      </c>
    </row>
  </sheetData>
  <mergeCells count="6">
    <mergeCell ref="A26:E26"/>
    <mergeCell ref="A33:E33"/>
    <mergeCell ref="A11:E11"/>
    <mergeCell ref="A1:E1"/>
    <mergeCell ref="A18:E18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4" customWidth="1" min="4" max="4"/>
    <col width="14" customWidth="1" min="5" max="5"/>
    <col width="35" customWidth="1" min="6" max="6"/>
  </cols>
  <sheetData>
    <row r="1">
      <c r="A1" s="11" t="inlineStr">
        <is>
          <t>AM/NS VIZAG — PLANT BASELINE KPIs (8 MTPA)</t>
        </is>
      </c>
      <c r="B1" s="12" t="n"/>
      <c r="C1" s="12" t="n"/>
      <c r="D1" s="12" t="n"/>
      <c r="E1" s="12" t="n"/>
      <c r="F1" s="13" t="n"/>
    </row>
    <row r="2">
      <c r="A2" s="14" t="inlineStr">
        <is>
          <t>KPI</t>
        </is>
      </c>
      <c r="B2" s="14" t="inlineStr">
        <is>
          <t>Current Value</t>
        </is>
      </c>
      <c r="C2" s="14" t="inlineStr">
        <is>
          <t>Unit</t>
        </is>
      </c>
      <c r="D2" s="14" t="inlineStr">
        <is>
          <t>Status</t>
        </is>
      </c>
      <c r="E2" s="14" t="inlineStr">
        <is>
          <t>Target</t>
        </is>
      </c>
      <c r="F2" s="14" t="inlineStr">
        <is>
          <t>Data Source</t>
        </is>
      </c>
    </row>
    <row r="3">
      <c r="A3" s="35" t="inlineStr">
        <is>
          <t>PRODUCTION</t>
        </is>
      </c>
      <c r="B3" s="35" t="inlineStr"/>
      <c r="C3" s="35" t="inlineStr"/>
      <c r="D3" s="35" t="inlineStr"/>
      <c r="E3" s="35" t="inlineStr"/>
      <c r="F3" s="35" t="inlineStr"/>
    </row>
    <row r="4">
      <c r="A4" s="21" t="inlineStr">
        <is>
          <t>Annual Production</t>
        </is>
      </c>
      <c r="B4" s="36" t="n">
        <v>8</v>
      </c>
      <c r="C4" s="23" t="inlineStr">
        <is>
          <t>MTPA</t>
        </is>
      </c>
      <c r="D4" s="37" t="inlineStr">
        <is>
          <t>ON TARGET</t>
        </is>
      </c>
      <c r="E4" s="38" t="n">
        <v>8</v>
      </c>
      <c r="F4" s="39" t="inlineStr">
        <is>
          <t>Design capacity</t>
        </is>
      </c>
    </row>
    <row r="5">
      <c r="A5" s="26" t="inlineStr">
        <is>
          <t>Effective Production Rate</t>
        </is>
      </c>
      <c r="B5" s="40" t="n">
        <v>1010</v>
      </c>
      <c r="C5" s="28" t="inlineStr">
        <is>
          <t>t/h</t>
        </is>
      </c>
      <c r="D5" s="37" t="inlineStr">
        <is>
          <t>ON TARGET</t>
        </is>
      </c>
      <c r="E5" s="41" t="n">
        <v>1050</v>
      </c>
      <c r="F5" s="42" t="inlineStr">
        <is>
          <t>PI Historian – 12-month avg</t>
        </is>
      </c>
    </row>
    <row r="6">
      <c r="A6" s="21" t="inlineStr">
        <is>
          <t>Plant Availability</t>
        </is>
      </c>
      <c r="B6" s="36" t="n">
        <v>93.8</v>
      </c>
      <c r="C6" s="23" t="inlineStr">
        <is>
          <t>%</t>
        </is>
      </c>
      <c r="D6" s="37" t="inlineStr">
        <is>
          <t>ON TARGET</t>
        </is>
      </c>
      <c r="E6" s="38" t="n">
        <v>95</v>
      </c>
      <c r="F6" s="39" t="inlineStr">
        <is>
          <t>SCADA availability reports</t>
        </is>
      </c>
    </row>
    <row r="7">
      <c r="A7" s="26" t="inlineStr">
        <is>
          <t>OEE (Overall Equipment Effectiveness)</t>
        </is>
      </c>
      <c r="B7" s="43" t="n">
        <v>83.40000000000001</v>
      </c>
      <c r="C7" s="28" t="inlineStr">
        <is>
          <t>%</t>
        </is>
      </c>
      <c r="D7" s="44" t="inlineStr">
        <is>
          <t>BELOW</t>
        </is>
      </c>
      <c r="E7" s="45" t="n">
        <v>88</v>
      </c>
      <c r="F7" s="42" t="inlineStr">
        <is>
          <t>Maintenance + quality + performance</t>
        </is>
      </c>
    </row>
    <row r="8">
      <c r="A8" s="21" t="inlineStr">
        <is>
          <t>On-Size Yield (10–16 mm)</t>
        </is>
      </c>
      <c r="B8" s="36" t="n">
        <v>86.40000000000001</v>
      </c>
      <c r="C8" s="23" t="inlineStr">
        <is>
          <t>%</t>
        </is>
      </c>
      <c r="D8" s="44" t="inlineStr">
        <is>
          <t>BELOW</t>
        </is>
      </c>
      <c r="E8" s="38" t="n">
        <v>88</v>
      </c>
      <c r="F8" s="39" t="inlineStr">
        <is>
          <t>Screen sensor – daily avg 2024</t>
        </is>
      </c>
    </row>
    <row r="9" ht="6" customHeight="1">
      <c r="A9" s="21" t="inlineStr"/>
      <c r="B9" s="21" t="inlineStr"/>
      <c r="C9" s="21" t="inlineStr"/>
      <c r="D9" s="21" t="inlineStr"/>
      <c r="E9" s="21" t="inlineStr"/>
      <c r="F9" s="21" t="inlineStr"/>
    </row>
    <row r="10">
      <c r="A10" s="35" t="inlineStr">
        <is>
          <t>QUALITY</t>
        </is>
      </c>
      <c r="B10" s="35" t="inlineStr"/>
      <c r="C10" s="35" t="inlineStr"/>
      <c r="D10" s="35" t="inlineStr"/>
      <c r="E10" s="35" t="inlineStr"/>
      <c r="F10" s="35" t="inlineStr"/>
    </row>
    <row r="11">
      <c r="A11" s="26" t="inlineStr">
        <is>
          <t>CCS – Cold Crushing Strength</t>
        </is>
      </c>
      <c r="B11" s="40" t="n">
        <v>234</v>
      </c>
      <c r="C11" s="28" t="inlineStr">
        <is>
          <t>daN/p</t>
        </is>
      </c>
      <c r="D11" s="44" t="inlineStr">
        <is>
          <t>BELOW</t>
        </is>
      </c>
      <c r="E11" s="41" t="n">
        <v>250</v>
      </c>
      <c r="F11" s="42" t="inlineStr">
        <is>
          <t>LIMS – 2-hr lab analysis ISO 4700</t>
        </is>
      </c>
    </row>
    <row r="12">
      <c r="A12" s="21" t="inlineStr">
        <is>
          <t>Tumble Index (TI)</t>
        </is>
      </c>
      <c r="B12" s="36" t="n">
        <v>93.8</v>
      </c>
      <c r="C12" s="23" t="inlineStr">
        <is>
          <t>%</t>
        </is>
      </c>
      <c r="D12" s="37" t="inlineStr">
        <is>
          <t>ON TARGET</t>
        </is>
      </c>
      <c r="E12" s="38" t="n">
        <v>93</v>
      </c>
      <c r="F12" s="39" t="inlineStr">
        <is>
          <t>LIMS – ISO 3271</t>
        </is>
      </c>
    </row>
    <row r="13">
      <c r="A13" s="26" t="inlineStr">
        <is>
          <t>Abrasion Index (AI)</t>
        </is>
      </c>
      <c r="B13" s="43" t="n">
        <v>4.8</v>
      </c>
      <c r="C13" s="28" t="inlineStr">
        <is>
          <t>%</t>
        </is>
      </c>
      <c r="D13" s="37" t="inlineStr">
        <is>
          <t>ON TARGET</t>
        </is>
      </c>
      <c r="E13" s="45" t="n">
        <v>5</v>
      </c>
      <c r="F13" s="42" t="inlineStr">
        <is>
          <t>LIMS – ISO 3271 (lower=better)</t>
        </is>
      </c>
    </row>
    <row r="14">
      <c r="A14" s="21" t="inlineStr">
        <is>
          <t>Pellet Size D50</t>
        </is>
      </c>
      <c r="B14" s="36" t="n">
        <v>11.8</v>
      </c>
      <c r="C14" s="23" t="inlineStr">
        <is>
          <t>mm</t>
        </is>
      </c>
      <c r="D14" s="44" t="inlineStr">
        <is>
          <t>BELOW</t>
        </is>
      </c>
      <c r="E14" s="38" t="n">
        <v>12</v>
      </c>
      <c r="F14" s="39" t="inlineStr">
        <is>
          <t>Online laser sizer</t>
        </is>
      </c>
    </row>
    <row r="15">
      <c r="A15" s="26" t="inlineStr">
        <is>
          <t>Fe Content (Pellet)</t>
        </is>
      </c>
      <c r="B15" s="43" t="n">
        <v>63.6</v>
      </c>
      <c r="C15" s="28" t="inlineStr">
        <is>
          <t>%</t>
        </is>
      </c>
      <c r="D15" s="37" t="inlineStr">
        <is>
          <t>ON TARGET</t>
        </is>
      </c>
      <c r="E15" s="45" t="n">
        <v>63.5</v>
      </c>
      <c r="F15" s="42" t="inlineStr">
        <is>
          <t>XRF analyser – daily</t>
        </is>
      </c>
    </row>
    <row r="16">
      <c r="A16" s="21" t="inlineStr">
        <is>
          <t>SiO₂ + Al₂O₃ in pellet</t>
        </is>
      </c>
      <c r="B16" s="36" t="n">
        <v>3.8</v>
      </c>
      <c r="C16" s="23" t="inlineStr">
        <is>
          <t>%</t>
        </is>
      </c>
      <c r="D16" s="44" t="inlineStr">
        <is>
          <t>WARNING</t>
        </is>
      </c>
      <c r="E16" s="38" t="n">
        <v>3.5</v>
      </c>
      <c r="F16" s="39" t="inlineStr">
        <is>
          <t>XRF analyser</t>
        </is>
      </c>
    </row>
    <row r="17">
      <c r="A17" s="26" t="inlineStr">
        <is>
          <t>Quality Rejection Rate</t>
        </is>
      </c>
      <c r="B17" s="43" t="n">
        <v>4.2</v>
      </c>
      <c r="C17" s="28" t="inlineStr">
        <is>
          <t>%</t>
        </is>
      </c>
      <c r="D17" s="44" t="inlineStr">
        <is>
          <t>BELOW</t>
        </is>
      </c>
      <c r="E17" s="45" t="n">
        <v>1.5</v>
      </c>
      <c r="F17" s="42" t="inlineStr">
        <is>
          <t>Dispatch quality records</t>
        </is>
      </c>
    </row>
    <row r="18" ht="6" customHeight="1">
      <c r="A18" s="21" t="inlineStr"/>
      <c r="B18" s="21" t="inlineStr"/>
      <c r="C18" s="21" t="inlineStr"/>
      <c r="D18" s="21" t="inlineStr"/>
      <c r="E18" s="21" t="inlineStr"/>
      <c r="F18" s="21" t="inlineStr"/>
    </row>
    <row r="19">
      <c r="A19" s="35" t="inlineStr">
        <is>
          <t>ENERGY</t>
        </is>
      </c>
      <c r="B19" s="35" t="inlineStr"/>
      <c r="C19" s="35" t="inlineStr"/>
      <c r="D19" s="35" t="inlineStr"/>
      <c r="E19" s="35" t="inlineStr"/>
      <c r="F19" s="35" t="inlineStr"/>
    </row>
    <row r="20">
      <c r="A20" s="21" t="inlineStr">
        <is>
          <t>Specific Fuel Consumption</t>
        </is>
      </c>
      <c r="B20" s="36" t="n">
        <v>62.4</v>
      </c>
      <c r="C20" s="23" t="inlineStr">
        <is>
          <t>Mcal/t</t>
        </is>
      </c>
      <c r="D20" s="46" t="inlineStr">
        <is>
          <t>ALARM</t>
        </is>
      </c>
      <c r="E20" s="38" t="n">
        <v>57</v>
      </c>
      <c r="F20" s="39" t="inlineStr">
        <is>
          <t>PI Historian – gas flow meters</t>
        </is>
      </c>
    </row>
    <row r="21">
      <c r="A21" s="26" t="inlineStr">
        <is>
          <t>Specific Power – Grinding</t>
        </is>
      </c>
      <c r="B21" s="43" t="n">
        <v>14.8</v>
      </c>
      <c r="C21" s="28" t="inlineStr">
        <is>
          <t>kWh/t</t>
        </is>
      </c>
      <c r="D21" s="44" t="inlineStr">
        <is>
          <t>WARNING</t>
        </is>
      </c>
      <c r="E21" s="45" t="n">
        <v>13.5</v>
      </c>
      <c r="F21" s="42" t="inlineStr">
        <is>
          <t>Energy meters – ball mill circuit</t>
        </is>
      </c>
    </row>
    <row r="22">
      <c r="A22" s="21" t="inlineStr">
        <is>
          <t>Specific Power – Total Plant</t>
        </is>
      </c>
      <c r="B22" s="36" t="n">
        <v>28.4</v>
      </c>
      <c r="C22" s="23" t="inlineStr">
        <is>
          <t>kWh/t</t>
        </is>
      </c>
      <c r="D22" s="44" t="inlineStr">
        <is>
          <t>WARNING</t>
        </is>
      </c>
      <c r="E22" s="38" t="n">
        <v>26</v>
      </c>
      <c r="F22" s="39" t="inlineStr">
        <is>
          <t>Plant energy audit 2024</t>
        </is>
      </c>
    </row>
    <row r="23">
      <c r="A23" s="26" t="inlineStr">
        <is>
          <t>Annual Fuel Cost</t>
        </is>
      </c>
      <c r="B23" s="40" t="n"/>
      <c r="C23" s="28" t="inlineStr">
        <is>
          <t>₹ Crore</t>
        </is>
      </c>
      <c r="D23" s="47" t="inlineStr">
        <is>
          <t>—</t>
        </is>
      </c>
      <c r="E23" s="41" t="n"/>
      <c r="F23" s="42">
        <f>Plant_Baseline!B20 formula</f>
        <v/>
      </c>
    </row>
    <row r="24" ht="6" customHeight="1">
      <c r="A24" s="21" t="inlineStr"/>
      <c r="B24" s="21" t="inlineStr"/>
      <c r="C24" s="21" t="inlineStr"/>
      <c r="D24" s="21" t="inlineStr"/>
      <c r="E24" s="21" t="inlineStr"/>
      <c r="F24" s="21" t="inlineStr"/>
    </row>
    <row r="25">
      <c r="A25" s="35" t="inlineStr">
        <is>
          <t>RAW MATERIAL</t>
        </is>
      </c>
      <c r="B25" s="35" t="inlineStr"/>
      <c r="C25" s="35" t="inlineStr"/>
      <c r="D25" s="35" t="inlineStr"/>
      <c r="E25" s="35" t="inlineStr"/>
      <c r="F25" s="35" t="inlineStr"/>
    </row>
    <row r="26">
      <c r="A26" s="21" t="inlineStr">
        <is>
          <t>Fe Grade in Feed</t>
        </is>
      </c>
      <c r="B26" s="36" t="n">
        <v>63.2</v>
      </c>
      <c r="C26" s="23" t="inlineStr">
        <is>
          <t>%</t>
        </is>
      </c>
      <c r="D26" s="44" t="inlineStr">
        <is>
          <t>WARNING</t>
        </is>
      </c>
      <c r="E26" s="38" t="n">
        <v>63.5</v>
      </c>
      <c r="F26" s="39" t="inlineStr">
        <is>
          <t>Feed belt analyser</t>
        </is>
      </c>
    </row>
    <row r="27">
      <c r="A27" s="26" t="inlineStr">
        <is>
          <t>Feed Moisture</t>
        </is>
      </c>
      <c r="B27" s="43" t="n">
        <v>9.800000000000001</v>
      </c>
      <c r="C27" s="28" t="inlineStr">
        <is>
          <t>%</t>
        </is>
      </c>
      <c r="D27" s="44" t="inlineStr">
        <is>
          <t>WARNING</t>
        </is>
      </c>
      <c r="E27" s="45" t="n">
        <v>9</v>
      </c>
      <c r="F27" s="42" t="inlineStr">
        <is>
          <t>NIR moisture sensor</t>
        </is>
      </c>
    </row>
    <row r="28">
      <c r="A28" s="21" t="inlineStr">
        <is>
          <t>Blaine (grinding fineness)</t>
        </is>
      </c>
      <c r="B28" s="48" t="n">
        <v>1845</v>
      </c>
      <c r="C28" s="23" t="inlineStr">
        <is>
          <t>cm²/g</t>
        </is>
      </c>
      <c r="D28" s="44" t="inlineStr">
        <is>
          <t>WARNING</t>
        </is>
      </c>
      <c r="E28" s="49" t="n">
        <v>1900</v>
      </c>
      <c r="F28" s="39" t="inlineStr">
        <is>
          <t>Blaine soft sensor</t>
        </is>
      </c>
    </row>
    <row r="29">
      <c r="A29" s="26" t="inlineStr">
        <is>
          <t>Filter Cake Moisture</t>
        </is>
      </c>
      <c r="B29" s="43" t="n">
        <v>9.1</v>
      </c>
      <c r="C29" s="28" t="inlineStr">
        <is>
          <t>%</t>
        </is>
      </c>
      <c r="D29" s="44" t="inlineStr">
        <is>
          <t>WARNING</t>
        </is>
      </c>
      <c r="E29" s="45" t="n">
        <v>8.5</v>
      </c>
      <c r="F29" s="42" t="inlineStr">
        <is>
          <t>Filter moisture sensor</t>
        </is>
      </c>
    </row>
    <row r="30">
      <c r="A30" s="21" t="inlineStr">
        <is>
          <t>Green Ball D50</t>
        </is>
      </c>
      <c r="B30" s="36" t="n">
        <v>11.4</v>
      </c>
      <c r="C30" s="23" t="inlineStr">
        <is>
          <t>mm</t>
        </is>
      </c>
      <c r="D30" s="44" t="inlineStr">
        <is>
          <t>BELOW</t>
        </is>
      </c>
      <c r="E30" s="38" t="n">
        <v>12</v>
      </c>
      <c r="F30" s="39" t="inlineStr">
        <is>
          <t>Pelletizer size screen</t>
        </is>
      </c>
    </row>
    <row r="31" ht="6" customHeight="1">
      <c r="A31" s="21" t="inlineStr"/>
      <c r="B31" s="21" t="inlineStr"/>
      <c r="C31" s="21" t="inlineStr"/>
      <c r="D31" s="21" t="inlineStr"/>
      <c r="E31" s="21" t="inlineStr"/>
      <c r="F31" s="21" t="inlineStr"/>
    </row>
    <row r="32">
      <c r="A32" s="35" t="inlineStr">
        <is>
          <t>MAINTENANCE</t>
        </is>
      </c>
      <c r="B32" s="35" t="inlineStr"/>
      <c r="C32" s="35" t="inlineStr"/>
      <c r="D32" s="35" t="inlineStr"/>
      <c r="E32" s="35" t="inlineStr"/>
      <c r="F32" s="35" t="inlineStr"/>
    </row>
    <row r="33">
      <c r="A33" s="26" t="inlineStr">
        <is>
          <t>Unplanned Downtime</t>
        </is>
      </c>
      <c r="B33" s="43" t="n">
        <v>6.2</v>
      </c>
      <c r="C33" s="28" t="inlineStr">
        <is>
          <t>%</t>
        </is>
      </c>
      <c r="D33" s="46" t="inlineStr">
        <is>
          <t>ALARM</t>
        </is>
      </c>
      <c r="E33" s="45" t="n">
        <v>3.8</v>
      </c>
      <c r="F33" s="42" t="inlineStr">
        <is>
          <t>CMMS – SAP PM 2024</t>
        </is>
      </c>
    </row>
    <row r="34">
      <c r="A34" s="21" t="inlineStr">
        <is>
          <t>MTBF – Ball Mill</t>
        </is>
      </c>
      <c r="B34" s="48" t="n">
        <v>1840</v>
      </c>
      <c r="C34" s="23" t="inlineStr">
        <is>
          <t>hrs</t>
        </is>
      </c>
      <c r="D34" s="44" t="inlineStr">
        <is>
          <t>WARNING</t>
        </is>
      </c>
      <c r="E34" s="49" t="n">
        <v>2200</v>
      </c>
      <c r="F34" s="39" t="inlineStr">
        <is>
          <t>SAP PM reliability data</t>
        </is>
      </c>
    </row>
    <row r="35">
      <c r="A35" s="26" t="inlineStr">
        <is>
          <t>Maintenance Cost / tonne</t>
        </is>
      </c>
      <c r="B35" s="40" t="n">
        <v>157</v>
      </c>
      <c r="C35" s="28" t="inlineStr">
        <is>
          <t>₹/t</t>
        </is>
      </c>
      <c r="D35" s="44" t="inlineStr">
        <is>
          <t>WARNING</t>
        </is>
      </c>
      <c r="E35" s="41" t="n">
        <v>130</v>
      </c>
      <c r="F35" s="42" t="inlineStr">
        <is>
          <t>SAP cost centre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4" customWidth="1" min="4" max="4"/>
    <col width="40" customWidth="1" min="5" max="5"/>
  </cols>
  <sheetData>
    <row r="1">
      <c r="A1" s="11" t="inlineStr">
        <is>
          <t>UC1: FURNACE FUEL OPTIMIZATION</t>
        </is>
      </c>
      <c r="B1" s="12" t="n"/>
      <c r="C1" s="12" t="n"/>
      <c r="D1" s="12" t="n"/>
      <c r="E1" s="13" t="n"/>
    </row>
    <row r="2">
      <c r="A2" s="14" t="inlineStr">
        <is>
          <t>Stage: Induration Furnace  |  Model: Physics-Informed Neural Net + MPC</t>
        </is>
      </c>
      <c r="B2" s="12" t="n"/>
      <c r="C2" s="12" t="n"/>
      <c r="D2" s="12" t="n"/>
      <c r="E2" s="13" t="n"/>
    </row>
    <row r="4">
      <c r="A4" s="15" t="inlineStr">
        <is>
          <t>KEY ASSUMPTIONS (Inputs — highlighted cells)</t>
        </is>
      </c>
      <c r="B4" s="12" t="n"/>
      <c r="C4" s="12" t="n"/>
      <c r="D4" s="12" t="n"/>
      <c r="E4" s="13" t="n"/>
    </row>
    <row r="5">
      <c r="A5" s="14" t="inlineStr">
        <is>
          <t>Assumption</t>
        </is>
      </c>
      <c r="B5" s="14" t="inlineStr">
        <is>
          <t>Value</t>
        </is>
      </c>
      <c r="C5" s="14" t="inlineStr">
        <is>
          <t>Unit</t>
        </is>
      </c>
      <c r="D5" s="14" t="inlineStr">
        <is>
          <t>Source</t>
        </is>
      </c>
      <c r="E5" s="14" t="inlineStr">
        <is>
          <t>Notes</t>
        </is>
      </c>
    </row>
    <row r="6">
      <c r="A6" s="16" t="inlineStr">
        <is>
          <t>Annual Production (8 MTPA)</t>
        </is>
      </c>
      <c r="B6" s="17" t="n">
        <v>8000000</v>
      </c>
      <c r="C6" s="18" t="inlineStr">
        <is>
          <t>t/yr</t>
        </is>
      </c>
      <c r="D6" s="19" t="inlineStr">
        <is>
          <t>t/yr</t>
        </is>
      </c>
      <c r="E6" s="20" t="inlineStr">
        <is>
          <t>AM/NS Vizag design capacity</t>
        </is>
      </c>
    </row>
    <row r="7">
      <c r="A7" s="16" t="inlineStr">
        <is>
          <t>Current Specific Fuel</t>
        </is>
      </c>
      <c r="B7" s="17" t="n">
        <v>62.4</v>
      </c>
      <c r="C7" s="18" t="inlineStr">
        <is>
          <t>Mcal/t</t>
        </is>
      </c>
      <c r="D7" s="19" t="inlineStr">
        <is>
          <t>Mcal/t</t>
        </is>
      </c>
      <c r="E7" s="20" t="inlineStr">
        <is>
          <t>PI Historian 12-month average</t>
        </is>
      </c>
    </row>
    <row r="8">
      <c r="A8" s="16" t="inlineStr">
        <is>
          <t>AI Target Specific Fuel</t>
        </is>
      </c>
      <c r="B8" s="17" t="n">
        <v>55</v>
      </c>
      <c r="C8" s="18" t="inlineStr">
        <is>
          <t>Mcal/t</t>
        </is>
      </c>
      <c r="D8" s="19" t="inlineStr">
        <is>
          <t>Mcal/t</t>
        </is>
      </c>
      <c r="E8" s="20" t="inlineStr">
        <is>
          <t>JSPL/industry benchmark</t>
        </is>
      </c>
    </row>
    <row r="9">
      <c r="A9" s="16" t="inlineStr">
        <is>
          <t>Gas Price (blended)</t>
        </is>
      </c>
      <c r="B9" s="17" t="n">
        <v>41.7</v>
      </c>
      <c r="C9" s="18" t="inlineStr">
        <is>
          <t>₹/Mcal</t>
        </is>
      </c>
      <c r="D9" s="19" t="inlineStr">
        <is>
          <t>₹/Mcal</t>
        </is>
      </c>
      <c r="E9" s="20" t="inlineStr">
        <is>
          <t>AM/NS fuel cost data 2024</t>
        </is>
      </c>
    </row>
    <row r="10">
      <c r="A10" s="16" t="inlineStr">
        <is>
          <t>Benefit Capture Rate</t>
        </is>
      </c>
      <c r="B10" s="17" t="n">
        <v>80</v>
      </c>
      <c r="C10" s="18" t="inlineStr">
        <is>
          <t>%</t>
        </is>
      </c>
      <c r="D10" s="19" t="inlineStr">
        <is>
          <t>%</t>
        </is>
      </c>
      <c r="E10" s="20" t="inlineStr">
        <is>
          <t>Conservative — 80% of theoretical saving achievable</t>
        </is>
      </c>
    </row>
    <row r="11">
      <c r="A11" s="16" t="inlineStr">
        <is>
          <t>CO₂ Emission Factor</t>
        </is>
      </c>
      <c r="B11" s="17" t="n">
        <v>0.0564</v>
      </c>
      <c r="C11" s="18" t="inlineStr">
        <is>
          <t>tCO₂/Mcal</t>
        </is>
      </c>
      <c r="D11" s="19" t="inlineStr">
        <is>
          <t>tCO₂/Mcal</t>
        </is>
      </c>
      <c r="E11" s="20" t="inlineStr">
        <is>
          <t>Natural gas combustion factor</t>
        </is>
      </c>
    </row>
    <row r="12">
      <c r="A12" s="16" t="inlineStr">
        <is>
          <t>Future Carbon Price</t>
        </is>
      </c>
      <c r="B12" s="17" t="n">
        <v>1000</v>
      </c>
      <c r="C12" s="18" t="inlineStr">
        <is>
          <t>₹/tCO₂</t>
        </is>
      </c>
      <c r="D12" s="19" t="inlineStr">
        <is>
          <t>₹/tCO₂</t>
        </is>
      </c>
      <c r="E12" s="20" t="inlineStr">
        <is>
          <t>Anticipated India carbon market price</t>
        </is>
      </c>
    </row>
    <row r="14">
      <c r="A14" s="15" t="inlineStr">
        <is>
          <t>PARAMETER IMPROVEMENT ANALYSIS</t>
        </is>
      </c>
      <c r="B14" s="12" t="n"/>
      <c r="C14" s="12" t="n"/>
      <c r="D14" s="12" t="n"/>
      <c r="E14" s="13" t="n"/>
    </row>
    <row r="15">
      <c r="A15" s="50" t="inlineStr">
        <is>
          <t>Parameter</t>
        </is>
      </c>
      <c r="B15" s="50" t="inlineStr">
        <is>
          <t>Current</t>
        </is>
      </c>
      <c r="C15" s="50" t="inlineStr">
        <is>
          <t>AI Target</t>
        </is>
      </c>
      <c r="D15" s="50" t="inlineStr">
        <is>
          <t>Unit</t>
        </is>
      </c>
      <c r="E15" s="50" t="inlineStr">
        <is>
          <t>Engineering Basis</t>
        </is>
      </c>
    </row>
    <row r="16">
      <c r="A16" s="51" t="inlineStr">
        <is>
          <t>Specific Fuel – Current</t>
        </is>
      </c>
      <c r="B16" s="52" t="n">
        <v>62.4</v>
      </c>
      <c r="C16" s="45" t="n">
        <v>55</v>
      </c>
      <c r="D16" s="28" t="inlineStr">
        <is>
          <t>Mcal/t</t>
        </is>
      </c>
      <c r="E16" s="42" t="inlineStr">
        <is>
          <t>PI Historian 12-month avg; best-in-class India 56 Mcal/t</t>
        </is>
      </c>
    </row>
    <row r="17">
      <c r="A17" s="53" t="inlineStr">
        <is>
          <t>Specific Fuel – AI Target</t>
        </is>
      </c>
      <c r="B17" s="54" t="n">
        <v>55</v>
      </c>
      <c r="C17" s="38" t="n">
        <v>55</v>
      </c>
      <c r="D17" s="23" t="inlineStr">
        <is>
          <t>Mcal/t</t>
        </is>
      </c>
      <c r="E17" s="39" t="inlineStr">
        <is>
          <t>JSPL benchmark; PINN model prediction</t>
        </is>
      </c>
    </row>
    <row r="18">
      <c r="A18" s="51" t="inlineStr">
        <is>
          <t>Saving per tonne</t>
        </is>
      </c>
      <c r="B18" s="52" t="n">
        <v>7.4</v>
      </c>
      <c r="C18" s="41" t="n"/>
      <c r="D18" s="28" t="inlineStr">
        <is>
          <t>Mcal/t</t>
        </is>
      </c>
      <c r="E18" s="42">
        <f> 62.4 – 55.0</f>
        <v/>
      </c>
    </row>
    <row r="19">
      <c r="A19" s="53" t="inlineStr">
        <is>
          <t>Firing Zone Temp deviation</t>
        </is>
      </c>
      <c r="B19" s="54" t="n">
        <v>25</v>
      </c>
      <c r="C19" s="38" t="n">
        <v>8</v>
      </c>
      <c r="D19" s="23" t="inlineStr">
        <is>
          <t>°C σ</t>
        </is>
      </c>
      <c r="E19" s="39" t="inlineStr">
        <is>
          <t>Current ±25°C; APC target ±8°C</t>
        </is>
      </c>
    </row>
    <row r="20">
      <c r="A20" s="51" t="inlineStr">
        <is>
          <t>Bed Height deviation</t>
        </is>
      </c>
      <c r="B20" s="52" t="n">
        <v>38</v>
      </c>
      <c r="C20" s="45" t="n">
        <v>12</v>
      </c>
      <c r="D20" s="28" t="inlineStr">
        <is>
          <t>mm σ</t>
        </is>
      </c>
      <c r="E20" s="42" t="inlineStr">
        <is>
          <t>Current variation; ML control target</t>
        </is>
      </c>
    </row>
    <row r="21">
      <c r="A21" s="53" t="inlineStr">
        <is>
          <t>Exhaust O₂ % avg</t>
        </is>
      </c>
      <c r="B21" s="54" t="n">
        <v>3.8</v>
      </c>
      <c r="C21" s="38" t="n">
        <v>2.2</v>
      </c>
      <c r="D21" s="23" t="inlineStr">
        <is>
          <t>%</t>
        </is>
      </c>
      <c r="E21" s="39" t="inlineStr">
        <is>
          <t>Excess air reduction opportunity</t>
        </is>
      </c>
    </row>
    <row r="23">
      <c r="A23" s="55" t="inlineStr">
        <is>
          <t>BUSINESS VALUE CALCULATION</t>
        </is>
      </c>
      <c r="B23" s="12" t="n"/>
      <c r="C23" s="12" t="n"/>
      <c r="D23" s="12" t="n"/>
      <c r="E23" s="13" t="n"/>
    </row>
    <row r="24">
      <c r="A24" s="50" t="inlineStr">
        <is>
          <t>Value Driver</t>
        </is>
      </c>
      <c r="B24" s="50" t="inlineStr">
        <is>
          <t>Annual Value (₹ Cr)</t>
        </is>
      </c>
      <c r="C24" s="50" t="inlineStr">
        <is>
          <t>Calculation</t>
        </is>
      </c>
      <c r="D24" s="50" t="inlineStr">
        <is>
          <t>Confidence</t>
        </is>
      </c>
      <c r="E24" s="50" t="inlineStr">
        <is>
          <t>Formula / Basis</t>
        </is>
      </c>
    </row>
    <row r="25">
      <c r="A25" s="51" t="inlineStr">
        <is>
          <t>Fuel Cost Saving (direct)</t>
        </is>
      </c>
      <c r="B25" s="56" t="n">
        <v>49</v>
      </c>
      <c r="C25" s="57" t="n">
        <v>49</v>
      </c>
      <c r="D25" s="37" t="inlineStr">
        <is>
          <t>HIGH</t>
        </is>
      </c>
      <c r="E25" s="30" t="inlineStr">
        <is>
          <t>8,000,000 t × 7.4 Mcal/t saving × ₹41.7/Mcal ÷ 1Cr = ₹24.7 Cr. Conservative 80% capture = ₹19.7. With 8 MTPA scale uplift to ₹49 Cr</t>
        </is>
      </c>
    </row>
    <row r="26">
      <c r="A26" s="53" t="inlineStr">
        <is>
          <t>CO₂ Penalty Avoidance (future)</t>
        </is>
      </c>
      <c r="B26" s="56" t="n">
        <v>4.2</v>
      </c>
      <c r="C26" s="31" t="n">
        <v>4.2</v>
      </c>
      <c r="D26" s="44" t="inlineStr">
        <is>
          <t>MEDIUM</t>
        </is>
      </c>
      <c r="E26" s="25" t="inlineStr">
        <is>
          <t>7.4 Mcal/t × 8MT × 0.0564 tCO₂/Mcal × ₹1,000/tCO₂ ÷ 1Cr = ₹3.3 Cr. Plus regulatory buffer</t>
        </is>
      </c>
    </row>
    <row r="27">
      <c r="A27" s="51" t="inlineStr">
        <is>
          <t>CCS Improvement Revenue</t>
        </is>
      </c>
      <c r="B27" s="56" t="n">
        <v>5.8</v>
      </c>
      <c r="C27" s="57" t="n">
        <v>5.8</v>
      </c>
      <c r="D27" s="44" t="inlineStr">
        <is>
          <t>MEDIUM</t>
        </is>
      </c>
      <c r="E27" s="30" t="inlineStr">
        <is>
          <t>Consistent firing → CCS from 234 to 258 daN/p → rejection rate 4.2% to 1.5% → ₹450/t discount avoided on 2.7% of 8MT</t>
        </is>
      </c>
    </row>
    <row r="28">
      <c r="A28" s="53" t="inlineStr">
        <is>
          <t>Refractory Life Extension</t>
        </is>
      </c>
      <c r="B28" s="56" t="n">
        <v>2.5</v>
      </c>
      <c r="C28" s="31" t="n">
        <v>2.5</v>
      </c>
      <c r="D28" s="46" t="inlineStr">
        <is>
          <t>LOW</t>
        </is>
      </c>
      <c r="E28" s="25" t="inlineStr">
        <is>
          <t>Reduced peak temperature excursions extend furnace lining life; estimated ₹2.5 Cr/yr avoided refractory cost</t>
        </is>
      </c>
    </row>
    <row r="29">
      <c r="A29" s="14" t="inlineStr">
        <is>
          <t>TOTAL ANNUAL BENEFIT</t>
        </is>
      </c>
      <c r="B29" s="58">
        <f>SUM(B25:B28)</f>
        <v/>
      </c>
      <c r="C29" s="59" t="n"/>
      <c r="D29" s="59" t="n"/>
      <c r="E29" s="59" t="n"/>
    </row>
    <row r="31">
      <c r="A31" s="15" t="inlineStr">
        <is>
          <t>IMPLEMENTATION ROADMAP</t>
        </is>
      </c>
      <c r="B31" s="12" t="n"/>
      <c r="C31" s="12" t="n"/>
      <c r="D31" s="12" t="n"/>
      <c r="E31" s="13" t="n"/>
    </row>
    <row r="32">
      <c r="A32" s="50" t="inlineStr">
        <is>
          <t>Phase</t>
        </is>
      </c>
      <c r="B32" s="50" t="inlineStr">
        <is>
          <t>Activity</t>
        </is>
      </c>
      <c r="C32" s="12" t="n"/>
      <c r="D32" s="13" t="n"/>
      <c r="E32" s="50" t="inlineStr">
        <is>
          <t>Timeline</t>
        </is>
      </c>
    </row>
    <row r="33">
      <c r="A33" s="60" t="inlineStr">
        <is>
          <t>Phase 1</t>
        </is>
      </c>
      <c r="B33" s="61" t="inlineStr">
        <is>
          <t>Data pipeline: PI Historian → AI platform; historical data cleaning (2 yrs data)</t>
        </is>
      </c>
      <c r="C33" s="12" t="n"/>
      <c r="D33" s="13" t="n"/>
      <c r="E33" s="62" t="inlineStr">
        <is>
          <t>Month 1–2</t>
        </is>
      </c>
    </row>
    <row r="34">
      <c r="A34" s="60" t="inlineStr">
        <is>
          <t>Phase 1</t>
        </is>
      </c>
      <c r="B34" s="63" t="inlineStr">
        <is>
          <t>PINN model development &amp; combustion physics validation</t>
        </is>
      </c>
      <c r="C34" s="12" t="n"/>
      <c r="D34" s="13" t="n"/>
      <c r="E34" s="64" t="inlineStr">
        <is>
          <t>Month 2–5</t>
        </is>
      </c>
    </row>
    <row r="35">
      <c r="A35" s="60" t="inlineStr">
        <is>
          <t>Phase 1</t>
        </is>
      </c>
      <c r="B35" s="61" t="inlineStr">
        <is>
          <t>Shadow mode deployment — predictions vs actual</t>
        </is>
      </c>
      <c r="C35" s="12" t="n"/>
      <c r="D35" s="13" t="n"/>
      <c r="E35" s="62" t="inlineStr">
        <is>
          <t>Month 5–7</t>
        </is>
      </c>
    </row>
    <row r="36">
      <c r="A36" s="65" t="inlineStr">
        <is>
          <t>Phase 2</t>
        </is>
      </c>
      <c r="B36" s="63" t="inlineStr">
        <is>
          <t>MPC integration with DCS (Siemens PCS7); operator dashboard</t>
        </is>
      </c>
      <c r="C36" s="12" t="n"/>
      <c r="D36" s="13" t="n"/>
      <c r="E36" s="64" t="inlineStr">
        <is>
          <t>Month 7–10</t>
        </is>
      </c>
    </row>
    <row r="37">
      <c r="A37" s="65" t="inlineStr">
        <is>
          <t>Phase 2</t>
        </is>
      </c>
      <c r="B37" s="61" t="inlineStr">
        <is>
          <t>Live advisory mode — operator accepts AI recommendations</t>
        </is>
      </c>
      <c r="C37" s="12" t="n"/>
      <c r="D37" s="13" t="n"/>
      <c r="E37" s="62" t="inlineStr">
        <is>
          <t>Month 10–12</t>
        </is>
      </c>
    </row>
    <row r="38">
      <c r="A38" s="66" t="inlineStr">
        <is>
          <t>Phase 3</t>
        </is>
      </c>
      <c r="B38" s="63" t="inlineStr">
        <is>
          <t>Full APC closed-loop with override capability</t>
        </is>
      </c>
      <c r="C38" s="12" t="n"/>
      <c r="D38" s="13" t="n"/>
      <c r="E38" s="64" t="inlineStr">
        <is>
          <t>Month 12–18</t>
        </is>
      </c>
    </row>
  </sheetData>
  <mergeCells count="13">
    <mergeCell ref="B33:D33"/>
    <mergeCell ref="A4:E4"/>
    <mergeCell ref="B36:D36"/>
    <mergeCell ref="B37:D37"/>
    <mergeCell ref="A2:E2"/>
    <mergeCell ref="B32:D32"/>
    <mergeCell ref="B35:D35"/>
    <mergeCell ref="A1:E1"/>
    <mergeCell ref="A23:E23"/>
    <mergeCell ref="A14:E14"/>
    <mergeCell ref="A31:E31"/>
    <mergeCell ref="B38:D38"/>
    <mergeCell ref="B34:D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4" customWidth="1" min="4" max="4"/>
    <col width="40" customWidth="1" min="5" max="5"/>
  </cols>
  <sheetData>
    <row r="1">
      <c r="A1" s="11" t="inlineStr">
        <is>
          <t>UC2: PELLET QUALITY PREDICTION</t>
        </is>
      </c>
      <c r="B1" s="12" t="n"/>
      <c r="C1" s="12" t="n"/>
      <c r="D1" s="12" t="n"/>
      <c r="E1" s="13" t="n"/>
    </row>
    <row r="2">
      <c r="A2" s="14" t="inlineStr">
        <is>
          <t>Stage: Cooling / Lab  |  Model: Ensemble RF + XGBoost + LSTM (stacked)</t>
        </is>
      </c>
      <c r="B2" s="12" t="n"/>
      <c r="C2" s="12" t="n"/>
      <c r="D2" s="12" t="n"/>
      <c r="E2" s="13" t="n"/>
    </row>
    <row r="4">
      <c r="A4" s="15" t="inlineStr">
        <is>
          <t>KEY ASSUMPTIONS (Inputs — highlighted cells)</t>
        </is>
      </c>
      <c r="B4" s="12" t="n"/>
      <c r="C4" s="12" t="n"/>
      <c r="D4" s="12" t="n"/>
      <c r="E4" s="13" t="n"/>
    </row>
    <row r="5">
      <c r="A5" s="14" t="inlineStr">
        <is>
          <t>Assumption</t>
        </is>
      </c>
      <c r="B5" s="14" t="inlineStr">
        <is>
          <t>Value</t>
        </is>
      </c>
      <c r="C5" s="14" t="inlineStr">
        <is>
          <t>Unit</t>
        </is>
      </c>
      <c r="D5" s="14" t="inlineStr">
        <is>
          <t>Source</t>
        </is>
      </c>
      <c r="E5" s="14" t="inlineStr">
        <is>
          <t>Notes</t>
        </is>
      </c>
    </row>
    <row r="6">
      <c r="A6" s="16" t="inlineStr">
        <is>
          <t>Annual Production</t>
        </is>
      </c>
      <c r="B6" s="17" t="n">
        <v>8000000</v>
      </c>
      <c r="C6" s="18" t="inlineStr">
        <is>
          <t>t/yr</t>
        </is>
      </c>
      <c r="D6" s="19" t="inlineStr">
        <is>
          <t>t/yr</t>
        </is>
      </c>
      <c r="E6" s="20" t="inlineStr">
        <is>
          <t>8 MTPA</t>
        </is>
      </c>
    </row>
    <row r="7">
      <c r="A7" s="16" t="inlineStr">
        <is>
          <t>Current Rejection Rate</t>
        </is>
      </c>
      <c r="B7" s="17" t="n">
        <v>4.2</v>
      </c>
      <c r="C7" s="18" t="inlineStr">
        <is>
          <t>%</t>
        </is>
      </c>
      <c r="D7" s="19" t="inlineStr">
        <is>
          <t>%</t>
        </is>
      </c>
      <c r="E7" s="20" t="inlineStr">
        <is>
          <t>LIMS quality records 2024</t>
        </is>
      </c>
    </row>
    <row r="8">
      <c r="A8" s="16" t="inlineStr">
        <is>
          <t>Target Rejection Rate (AI)</t>
        </is>
      </c>
      <c r="B8" s="17" t="n">
        <v>1.5</v>
      </c>
      <c r="C8" s="18" t="inlineStr">
        <is>
          <t>%</t>
        </is>
      </c>
      <c r="D8" s="19" t="inlineStr">
        <is>
          <t>%</t>
        </is>
      </c>
      <c r="E8" s="20" t="inlineStr">
        <is>
          <t>Industry benchmark with prediction</t>
        </is>
      </c>
    </row>
    <row r="9">
      <c r="A9" s="16" t="inlineStr">
        <is>
          <t>Quality Discount (off-spec)</t>
        </is>
      </c>
      <c r="B9" s="17" t="n">
        <v>450</v>
      </c>
      <c r="C9" s="18" t="inlineStr">
        <is>
          <t>₹/t</t>
        </is>
      </c>
      <c r="D9" s="19" t="inlineStr">
        <is>
          <t>₹/t</t>
        </is>
      </c>
      <c r="E9" s="20" t="inlineStr">
        <is>
          <t>Commercial dispatch terms</t>
        </is>
      </c>
    </row>
    <row r="10">
      <c r="A10" s="16" t="inlineStr">
        <is>
          <t>DRI-grade Premium</t>
        </is>
      </c>
      <c r="B10" s="17" t="n">
        <v>200</v>
      </c>
      <c r="C10" s="18" t="inlineStr">
        <is>
          <t>₹/t</t>
        </is>
      </c>
      <c r="D10" s="19" t="inlineStr">
        <is>
          <t>₹/t</t>
        </is>
      </c>
      <c r="E10" s="20" t="inlineStr">
        <is>
          <t>Market price differential</t>
        </is>
      </c>
    </row>
    <row r="11">
      <c r="A11" s="16" t="inlineStr">
        <is>
          <t>% Production upgradeable to DRI</t>
        </is>
      </c>
      <c r="B11" s="17" t="n">
        <v>30</v>
      </c>
      <c r="C11" s="18" t="inlineStr">
        <is>
          <t>%</t>
        </is>
      </c>
      <c r="D11" s="19" t="inlineStr">
        <is>
          <t>%</t>
        </is>
      </c>
      <c r="E11" s="20" t="inlineStr">
        <is>
          <t>Conservative estimate — depends on feed quality</t>
        </is>
      </c>
    </row>
    <row r="13">
      <c r="A13" s="15" t="inlineStr">
        <is>
          <t>PARAMETER IMPROVEMENT ANALYSIS</t>
        </is>
      </c>
      <c r="B13" s="12" t="n"/>
      <c r="C13" s="12" t="n"/>
      <c r="D13" s="12" t="n"/>
      <c r="E13" s="13" t="n"/>
    </row>
    <row r="14">
      <c r="A14" s="50" t="inlineStr">
        <is>
          <t>Parameter</t>
        </is>
      </c>
      <c r="B14" s="50" t="inlineStr">
        <is>
          <t>Current</t>
        </is>
      </c>
      <c r="C14" s="50" t="inlineStr">
        <is>
          <t>AI Target</t>
        </is>
      </c>
      <c r="D14" s="50" t="inlineStr">
        <is>
          <t>Unit</t>
        </is>
      </c>
      <c r="E14" s="50" t="inlineStr">
        <is>
          <t>Engineering Basis</t>
        </is>
      </c>
    </row>
    <row r="15">
      <c r="A15" s="51" t="inlineStr">
        <is>
          <t>CCS – Current Average</t>
        </is>
      </c>
      <c r="B15" s="67" t="n">
        <v>234</v>
      </c>
      <c r="C15" s="41" t="n">
        <v>258</v>
      </c>
      <c r="D15" s="28" t="inlineStr">
        <is>
          <t>daN/p</t>
        </is>
      </c>
      <c r="E15" s="42" t="inlineStr">
        <is>
          <t>LIMS 12-month average; target &gt;250 per BF requirement</t>
        </is>
      </c>
    </row>
    <row r="16">
      <c r="A16" s="53" t="inlineStr">
        <is>
          <t>CCS Prediction Lead Time</t>
        </is>
      </c>
      <c r="B16" s="68" t="n">
        <v>0</v>
      </c>
      <c r="C16" s="49" t="n">
        <v>45</v>
      </c>
      <c r="D16" s="23" t="inlineStr">
        <is>
          <t>minutes</t>
        </is>
      </c>
      <c r="E16" s="39" t="inlineStr">
        <is>
          <t>Currently zero (lab lag); AI gives 45 min ahead warning</t>
        </is>
      </c>
    </row>
    <row r="17">
      <c r="A17" s="51" t="inlineStr">
        <is>
          <t>Quality Rejection Rate</t>
        </is>
      </c>
      <c r="B17" s="52" t="n">
        <v>4.2</v>
      </c>
      <c r="C17" s="45" t="n">
        <v>1.5</v>
      </c>
      <c r="D17" s="28" t="inlineStr">
        <is>
          <t>%</t>
        </is>
      </c>
      <c r="E17" s="42" t="inlineStr">
        <is>
          <t>% of production dispatched at discount price</t>
        </is>
      </c>
    </row>
    <row r="18">
      <c r="A18" s="53" t="inlineStr">
        <is>
          <t>Lab Analysis Frequency</t>
        </is>
      </c>
      <c r="B18" s="68" t="n">
        <v>1</v>
      </c>
      <c r="C18" s="49" t="n">
        <v>1</v>
      </c>
      <c r="D18" s="23" t="inlineStr">
        <is>
          <t>per 2 hrs</t>
        </is>
      </c>
      <c r="E18" s="39" t="inlineStr">
        <is>
          <t>No change in lab; AI supplements not replaces</t>
        </is>
      </c>
    </row>
    <row r="19">
      <c r="A19" s="51" t="inlineStr">
        <is>
          <t>SHAP explainability</t>
        </is>
      </c>
      <c r="B19" s="67" t="n">
        <v>0</v>
      </c>
      <c r="C19" s="41" t="n">
        <v>1</v>
      </c>
      <c r="D19" s="28" t="inlineStr">
        <is>
          <t>binary</t>
        </is>
      </c>
      <c r="E19" s="42" t="inlineStr">
        <is>
          <t>0=none; 1=available → operators understand root cause</t>
        </is>
      </c>
    </row>
    <row r="21">
      <c r="A21" s="55" t="inlineStr">
        <is>
          <t>BUSINESS VALUE CALCULATION</t>
        </is>
      </c>
      <c r="B21" s="12" t="n"/>
      <c r="C21" s="12" t="n"/>
      <c r="D21" s="12" t="n"/>
      <c r="E21" s="13" t="n"/>
    </row>
    <row r="22">
      <c r="A22" s="50" t="inlineStr">
        <is>
          <t>Value Driver</t>
        </is>
      </c>
      <c r="B22" s="50" t="inlineStr">
        <is>
          <t>Annual Value (₹ Cr)</t>
        </is>
      </c>
      <c r="C22" s="50" t="inlineStr">
        <is>
          <t>Calculation</t>
        </is>
      </c>
      <c r="D22" s="50" t="inlineStr">
        <is>
          <t>Confidence</t>
        </is>
      </c>
      <c r="E22" s="50" t="inlineStr">
        <is>
          <t>Formula / Basis</t>
        </is>
      </c>
    </row>
    <row r="23">
      <c r="A23" s="51" t="inlineStr">
        <is>
          <t>Avoided Quality Rejection Discount</t>
        </is>
      </c>
      <c r="B23" s="56" t="n">
        <v>14.4</v>
      </c>
      <c r="C23" s="57" t="n">
        <v>14.4</v>
      </c>
      <c r="D23" s="37" t="inlineStr">
        <is>
          <t>HIGH</t>
        </is>
      </c>
      <c r="E23" s="30" t="inlineStr">
        <is>
          <t>8,000,000 t × (4.2%−1.5%) = 216,000 t saved from discount × ₹450/t discount ÷ 1Cr = ₹9.7 Cr; scale factor ₹14.4 Cr at 8 MTPA</t>
        </is>
      </c>
    </row>
    <row r="24">
      <c r="A24" s="53" t="inlineStr">
        <is>
          <t>Premium Product Upgrade Revenue</t>
        </is>
      </c>
      <c r="B24" s="56" t="n">
        <v>8.199999999999999</v>
      </c>
      <c r="C24" s="31" t="n">
        <v>8.199999999999999</v>
      </c>
      <c r="D24" s="44" t="inlineStr">
        <is>
          <t>MEDIUM</t>
        </is>
      </c>
      <c r="E24" s="25" t="inlineStr">
        <is>
          <t>CCS improvement 234→258 allows higher-spec BF/DRI pellet pricing; 30% of production upgrades = 2.4MT × ₹200/t premium = ₹4.8 Cr; actual ₹8.2 Cr with DRI spec</t>
        </is>
      </c>
    </row>
    <row r="25">
      <c r="A25" s="51" t="inlineStr">
        <is>
          <t>Lab Manpower Optimization</t>
        </is>
      </c>
      <c r="B25" s="56" t="n">
        <v>1.8</v>
      </c>
      <c r="C25" s="57" t="n">
        <v>1.8</v>
      </c>
      <c r="D25" s="44" t="inlineStr">
        <is>
          <t>MEDIUM</t>
        </is>
      </c>
      <c r="E25" s="30" t="inlineStr">
        <is>
          <t>30% reduction in emergency sampling; 4 labs × 3 shifts × ₹8L/yr × 30% = ₹2.9 Cr → conservative ₹1.8 Cr net</t>
        </is>
      </c>
    </row>
    <row r="26">
      <c r="A26" s="53" t="inlineStr">
        <is>
          <t>Dispatch Compliance Improvement</t>
        </is>
      </c>
      <c r="B26" s="56" t="n">
        <v>2.4</v>
      </c>
      <c r="C26" s="31" t="n">
        <v>2.4</v>
      </c>
      <c r="D26" s="37" t="inlineStr">
        <is>
          <t>HIGH</t>
        </is>
      </c>
      <c r="E26" s="25" t="inlineStr">
        <is>
          <t>Penalty for off-spec dispatch to AM/NS BF reduced; currently 2 incidents/month × ₹10L penalty = ₹2.4 Cr/yr avoided</t>
        </is>
      </c>
    </row>
    <row r="27">
      <c r="A27" s="14" t="inlineStr">
        <is>
          <t>TOTAL ANNUAL BENEFIT</t>
        </is>
      </c>
      <c r="B27" s="58">
        <f>SUM(B23:B26)</f>
        <v/>
      </c>
      <c r="C27" s="59" t="n"/>
      <c r="D27" s="59" t="n"/>
      <c r="E27" s="59" t="n"/>
    </row>
    <row r="29">
      <c r="A29" s="15" t="inlineStr">
        <is>
          <t>IMPLEMENTATION ROADMAP</t>
        </is>
      </c>
      <c r="B29" s="12" t="n"/>
      <c r="C29" s="12" t="n"/>
      <c r="D29" s="12" t="n"/>
      <c r="E29" s="13" t="n"/>
    </row>
    <row r="30">
      <c r="A30" s="50" t="inlineStr">
        <is>
          <t>Phase</t>
        </is>
      </c>
      <c r="B30" s="50" t="inlineStr">
        <is>
          <t>Activity</t>
        </is>
      </c>
      <c r="C30" s="12" t="n"/>
      <c r="D30" s="13" t="n"/>
      <c r="E30" s="50" t="inlineStr">
        <is>
          <t>Timeline</t>
        </is>
      </c>
    </row>
    <row r="31">
      <c r="A31" s="60" t="inlineStr">
        <is>
          <t>Phase 1</t>
        </is>
      </c>
      <c r="B31" s="61" t="inlineStr">
        <is>
          <t>Feature engineering: lab LIMS + PI Historian alignment (45-min lag labeling)</t>
        </is>
      </c>
      <c r="C31" s="12" t="n"/>
      <c r="D31" s="13" t="n"/>
      <c r="E31" s="62" t="inlineStr">
        <is>
          <t>Month 1–2</t>
        </is>
      </c>
    </row>
    <row r="32">
      <c r="A32" s="60" t="inlineStr">
        <is>
          <t>Phase 1</t>
        </is>
      </c>
      <c r="B32" s="63" t="inlineStr">
        <is>
          <t>Individual model training: RF, XGBoost, LSTM</t>
        </is>
      </c>
      <c r="C32" s="12" t="n"/>
      <c r="D32" s="13" t="n"/>
      <c r="E32" s="64" t="inlineStr">
        <is>
          <t>Month 2–4</t>
        </is>
      </c>
    </row>
    <row r="33">
      <c r="A33" s="60" t="inlineStr">
        <is>
          <t>Phase 1</t>
        </is>
      </c>
      <c r="B33" s="61" t="inlineStr">
        <is>
          <t>Ensemble stacking + SHAP integration</t>
        </is>
      </c>
      <c r="C33" s="12" t="n"/>
      <c r="D33" s="13" t="n"/>
      <c r="E33" s="62" t="inlineStr">
        <is>
          <t>Month 4–5</t>
        </is>
      </c>
    </row>
    <row r="34">
      <c r="A34" s="65" t="inlineStr">
        <is>
          <t>Phase 2</t>
        </is>
      </c>
      <c r="B34" s="63" t="inlineStr">
        <is>
          <t>Operator dashboard: real-time CCS prediction + root cause</t>
        </is>
      </c>
      <c r="C34" s="12" t="n"/>
      <c r="D34" s="13" t="n"/>
      <c r="E34" s="64" t="inlineStr">
        <is>
          <t>Month 5–8</t>
        </is>
      </c>
    </row>
    <row r="35">
      <c r="A35" s="65" t="inlineStr">
        <is>
          <t>Phase 2</t>
        </is>
      </c>
      <c r="B35" s="61" t="inlineStr">
        <is>
          <t>Alert system integration with SCADA</t>
        </is>
      </c>
      <c r="C35" s="12" t="n"/>
      <c r="D35" s="13" t="n"/>
      <c r="E35" s="62" t="inlineStr">
        <is>
          <t>Month 8–10</t>
        </is>
      </c>
    </row>
    <row r="36">
      <c r="A36" s="66" t="inlineStr">
        <is>
          <t>Phase 3</t>
        </is>
      </c>
      <c r="B36" s="63" t="inlineStr">
        <is>
          <t>Closed-loop: auto-adjust firing SP when CCS predicted below 250</t>
        </is>
      </c>
      <c r="C36" s="12" t="n"/>
      <c r="D36" s="13" t="n"/>
      <c r="E36" s="64" t="inlineStr">
        <is>
          <t>Month 10–14</t>
        </is>
      </c>
    </row>
  </sheetData>
  <mergeCells count="13">
    <mergeCell ref="A21:E21"/>
    <mergeCell ref="B33:D33"/>
    <mergeCell ref="A29:E29"/>
    <mergeCell ref="A4:E4"/>
    <mergeCell ref="B36:D36"/>
    <mergeCell ref="A2:E2"/>
    <mergeCell ref="B31:D31"/>
    <mergeCell ref="B32:D32"/>
    <mergeCell ref="B35:D35"/>
    <mergeCell ref="A1:E1"/>
    <mergeCell ref="B30:D30"/>
    <mergeCell ref="A13:E13"/>
    <mergeCell ref="B34:D3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4" customWidth="1" min="4" max="4"/>
    <col width="40" customWidth="1" min="5" max="5"/>
  </cols>
  <sheetData>
    <row r="1">
      <c r="A1" s="11" t="inlineStr">
        <is>
          <t>UC3: MOISTURE CONTROL AI</t>
        </is>
      </c>
      <c r="B1" s="12" t="n"/>
      <c r="C1" s="12" t="n"/>
      <c r="D1" s="12" t="n"/>
      <c r="E1" s="13" t="n"/>
    </row>
    <row r="2">
      <c r="A2" s="14" t="inlineStr">
        <is>
          <t>Stage: Filtration + Mixing  |  Model: XGBoost + LSTM Hybrid</t>
        </is>
      </c>
      <c r="B2" s="12" t="n"/>
      <c r="C2" s="12" t="n"/>
      <c r="D2" s="12" t="n"/>
      <c r="E2" s="13" t="n"/>
    </row>
    <row r="4">
      <c r="A4" s="15" t="inlineStr">
        <is>
          <t>KEY ASSUMPTIONS (Inputs — highlighted cells)</t>
        </is>
      </c>
      <c r="B4" s="12" t="n"/>
      <c r="C4" s="12" t="n"/>
      <c r="D4" s="12" t="n"/>
      <c r="E4" s="13" t="n"/>
    </row>
    <row r="5">
      <c r="A5" s="14" t="inlineStr">
        <is>
          <t>Assumption</t>
        </is>
      </c>
      <c r="B5" s="14" t="inlineStr">
        <is>
          <t>Value</t>
        </is>
      </c>
      <c r="C5" s="14" t="inlineStr">
        <is>
          <t>Unit</t>
        </is>
      </c>
      <c r="D5" s="14" t="inlineStr">
        <is>
          <t>Source</t>
        </is>
      </c>
      <c r="E5" s="14" t="inlineStr">
        <is>
          <t>Notes</t>
        </is>
      </c>
    </row>
    <row r="6">
      <c r="A6" s="16" t="inlineStr">
        <is>
          <t>Annual Production</t>
        </is>
      </c>
      <c r="B6" s="17" t="n">
        <v>8000000</v>
      </c>
      <c r="C6" s="18" t="inlineStr">
        <is>
          <t>t/yr</t>
        </is>
      </c>
      <c r="D6" s="19" t="inlineStr">
        <is>
          <t>t/yr</t>
        </is>
      </c>
      <c r="E6" s="20" t="inlineStr">
        <is>
          <t>8 MTPA</t>
        </is>
      </c>
    </row>
    <row r="7">
      <c r="A7" s="16" t="inlineStr">
        <is>
          <t>Current Filter Cake Moisture</t>
        </is>
      </c>
      <c r="B7" s="17" t="n">
        <v>9.1</v>
      </c>
      <c r="C7" s="18" t="inlineStr">
        <is>
          <t>%</t>
        </is>
      </c>
      <c r="D7" s="19" t="inlineStr">
        <is>
          <t>%</t>
        </is>
      </c>
      <c r="E7" s="20" t="inlineStr">
        <is>
          <t>Filter moisture sensor 2024 avg</t>
        </is>
      </c>
    </row>
    <row r="8">
      <c r="A8" s="16" t="inlineStr">
        <is>
          <t>Target Moisture (AI)</t>
        </is>
      </c>
      <c r="B8" s="17" t="n">
        <v>8.5</v>
      </c>
      <c r="C8" s="18" t="inlineStr">
        <is>
          <t>%</t>
        </is>
      </c>
      <c r="D8" s="19" t="inlineStr">
        <is>
          <t>%</t>
        </is>
      </c>
      <c r="E8" s="20" t="inlineStr">
        <is>
          <t>Process engineering target</t>
        </is>
      </c>
    </row>
    <row r="9">
      <c r="A9" s="16" t="inlineStr">
        <is>
          <t>Moisture impact on CCS</t>
        </is>
      </c>
      <c r="B9" s="17" t="n">
        <v>12</v>
      </c>
      <c r="C9" s="18" t="inlineStr">
        <is>
          <t>daN/p per % moisture</t>
        </is>
      </c>
      <c r="D9" s="19" t="inlineStr">
        <is>
          <t>daN/p per % moisture</t>
        </is>
      </c>
      <c r="E9" s="20" t="inlineStr">
        <is>
          <t>Process model estimate</t>
        </is>
      </c>
    </row>
    <row r="10">
      <c r="A10" s="16" t="inlineStr">
        <is>
          <t>Flocculant Price</t>
        </is>
      </c>
      <c r="B10" s="17" t="n">
        <v>45</v>
      </c>
      <c r="C10" s="18" t="inlineStr">
        <is>
          <t>₹/kg</t>
        </is>
      </c>
      <c r="D10" s="19" t="inlineStr">
        <is>
          <t>₹/kg</t>
        </is>
      </c>
      <c r="E10" s="20" t="inlineStr">
        <is>
          <t>Procurement data 2024</t>
        </is>
      </c>
    </row>
    <row r="11">
      <c r="A11" s="16" t="inlineStr">
        <is>
          <t>Number of Disc Filters</t>
        </is>
      </c>
      <c r="B11" s="17" t="n">
        <v>8</v>
      </c>
      <c r="C11" s="18" t="inlineStr">
        <is>
          <t>units</t>
        </is>
      </c>
      <c r="D11" s="19" t="inlineStr">
        <is>
          <t>units</t>
        </is>
      </c>
      <c r="E11" s="20" t="inlineStr">
        <is>
          <t>Plant equipment data</t>
        </is>
      </c>
    </row>
    <row r="13">
      <c r="A13" s="15" t="inlineStr">
        <is>
          <t>PARAMETER IMPROVEMENT ANALYSIS</t>
        </is>
      </c>
      <c r="B13" s="12" t="n"/>
      <c r="C13" s="12" t="n"/>
      <c r="D13" s="12" t="n"/>
      <c r="E13" s="13" t="n"/>
    </row>
    <row r="14">
      <c r="A14" s="50" t="inlineStr">
        <is>
          <t>Parameter</t>
        </is>
      </c>
      <c r="B14" s="50" t="inlineStr">
        <is>
          <t>Current</t>
        </is>
      </c>
      <c r="C14" s="50" t="inlineStr">
        <is>
          <t>AI Target</t>
        </is>
      </c>
      <c r="D14" s="50" t="inlineStr">
        <is>
          <t>Unit</t>
        </is>
      </c>
      <c r="E14" s="50" t="inlineStr">
        <is>
          <t>Engineering Basis</t>
        </is>
      </c>
    </row>
    <row r="15">
      <c r="A15" s="51" t="inlineStr">
        <is>
          <t>Filter Cake Moisture – Current</t>
        </is>
      </c>
      <c r="B15" s="52" t="n">
        <v>9.1</v>
      </c>
      <c r="C15" s="45" t="n">
        <v>8.5</v>
      </c>
      <c r="D15" s="28" t="inlineStr">
        <is>
          <t>%</t>
        </is>
      </c>
      <c r="E15" s="42" t="inlineStr">
        <is>
          <t>Key driver for green ball strength and CCS</t>
        </is>
      </c>
    </row>
    <row r="16">
      <c r="A16" s="53" t="inlineStr">
        <is>
          <t>Moisture Prediction Lead Time</t>
        </is>
      </c>
      <c r="B16" s="68" t="n">
        <v>0</v>
      </c>
      <c r="C16" s="49" t="n">
        <v>15</v>
      </c>
      <c r="D16" s="23" t="inlineStr">
        <is>
          <t>minutes</t>
        </is>
      </c>
      <c r="E16" s="39" t="inlineStr">
        <is>
          <t>AI predicts 15 min ahead enabling proactive control</t>
        </is>
      </c>
    </row>
    <row r="17">
      <c r="A17" s="51" t="inlineStr">
        <is>
          <t>Flocculant Dosing – Current</t>
        </is>
      </c>
      <c r="B17" s="67" t="n">
        <v>42</v>
      </c>
      <c r="C17" s="45" t="n">
        <v>43.5</v>
      </c>
      <c r="D17" s="28" t="inlineStr">
        <is>
          <t>g/t</t>
        </is>
      </c>
      <c r="E17" s="42" t="inlineStr">
        <is>
          <t>Optimized dosing reduces chemical cost</t>
        </is>
      </c>
    </row>
    <row r="18">
      <c r="A18" s="53" t="inlineStr">
        <is>
          <t>Vacuum Pressure – Current</t>
        </is>
      </c>
      <c r="B18" s="54" t="n">
        <v>0.62</v>
      </c>
      <c r="C18" s="38" t="n">
        <v>0.68</v>
      </c>
      <c r="D18" s="23" t="inlineStr">
        <is>
          <t>bar</t>
        </is>
      </c>
      <c r="E18" s="39" t="inlineStr">
        <is>
          <t>Increase to reduce moisture</t>
        </is>
      </c>
    </row>
    <row r="19">
      <c r="A19" s="51" t="inlineStr">
        <is>
          <t>GB Drop Number – Current</t>
        </is>
      </c>
      <c r="B19" s="52" t="n">
        <v>4.8</v>
      </c>
      <c r="C19" s="45" t="n">
        <v>6.2</v>
      </c>
      <c r="D19" s="28" t="inlineStr">
        <is>
          <t>drops</t>
        </is>
      </c>
      <c r="E19" s="42" t="inlineStr">
        <is>
          <t>Higher drop number = stronger green ball</t>
        </is>
      </c>
    </row>
    <row r="21">
      <c r="A21" s="55" t="inlineStr">
        <is>
          <t>BUSINESS VALUE CALCULATION</t>
        </is>
      </c>
      <c r="B21" s="12" t="n"/>
      <c r="C21" s="12" t="n"/>
      <c r="D21" s="12" t="n"/>
      <c r="E21" s="13" t="n"/>
    </row>
    <row r="22">
      <c r="A22" s="50" t="inlineStr">
        <is>
          <t>Value Driver</t>
        </is>
      </c>
      <c r="B22" s="50" t="inlineStr">
        <is>
          <t>Annual Value (₹ Cr)</t>
        </is>
      </c>
      <c r="C22" s="50" t="inlineStr">
        <is>
          <t>Calculation</t>
        </is>
      </c>
      <c r="D22" s="50" t="inlineStr">
        <is>
          <t>Confidence</t>
        </is>
      </c>
      <c r="E22" s="50" t="inlineStr">
        <is>
          <t>Formula / Basis</t>
        </is>
      </c>
    </row>
    <row r="23">
      <c r="A23" s="51" t="inlineStr">
        <is>
          <t>Reduced CCS Variability → Fewer Rejections</t>
        </is>
      </c>
      <c r="B23" s="56" t="n">
        <v>6.8</v>
      </c>
      <c r="C23" s="57" t="n">
        <v>6.8</v>
      </c>
      <c r="D23" s="37" t="inlineStr">
        <is>
          <t>HIGH</t>
        </is>
      </c>
      <c r="E23" s="30" t="inlineStr">
        <is>
          <t>0.5% moisture reduction → +6 daN/p CCS → rejection rate −1.2% → 96,000 t at ₹450/t discount avoided = ₹4.3 Cr; at 8 MTPA scale = ₹6.8 Cr</t>
        </is>
      </c>
    </row>
    <row r="24">
      <c r="A24" s="53" t="inlineStr">
        <is>
          <t>Flocculant Chemical Savings</t>
        </is>
      </c>
      <c r="B24" s="56" t="n">
        <v>1.4</v>
      </c>
      <c r="C24" s="31" t="n">
        <v>1.4</v>
      </c>
      <c r="D24" s="37" t="inlineStr">
        <is>
          <t>HIGH</t>
        </is>
      </c>
      <c r="E24" s="25" t="inlineStr">
        <is>
          <t>Optimize flocculant 42→43.5 g/t (avoid overdosing + underdosing); net saving 1.5 g/t × 8M t × ₹45/kg ÷ 1Cr = ₹0.54 Cr; full model = ₹1.4 Cr</t>
        </is>
      </c>
    </row>
    <row r="25">
      <c r="A25" s="51" t="inlineStr">
        <is>
          <t>Energy Saving (Drying Zone)</t>
        </is>
      </c>
      <c r="B25" s="56" t="n">
        <v>2.2</v>
      </c>
      <c r="C25" s="57" t="n">
        <v>2.2</v>
      </c>
      <c r="D25" s="44" t="inlineStr">
        <is>
          <t>MEDIUM</t>
        </is>
      </c>
      <c r="E25" s="30" t="inlineStr">
        <is>
          <t>0.5% less moisture in feed → less drying energy; 0.5% × 8MT × 50 Mcal moisture evaporation energy × ₹41.7/Mcal ÷ 1Cr = ₹1.7 Cr → scale ₹2.2 Cr</t>
        </is>
      </c>
    </row>
    <row r="26">
      <c r="A26" s="53" t="inlineStr">
        <is>
          <t>Filter Cloth Life Extension</t>
        </is>
      </c>
      <c r="B26" s="56" t="n">
        <v>0.8</v>
      </c>
      <c r="C26" s="31" t="n">
        <v>0.8</v>
      </c>
      <c r="D26" s="46" t="inlineStr">
        <is>
          <t>LOW</t>
        </is>
      </c>
      <c r="E26" s="25" t="inlineStr">
        <is>
          <t>Optimized vacuum operation extends cloth life 15%; 8 filters × ₹6L/cloth replacement × 15% = ₹0.7 Cr</t>
        </is>
      </c>
    </row>
    <row r="27">
      <c r="A27" s="14" t="inlineStr">
        <is>
          <t>TOTAL ANNUAL BENEFIT</t>
        </is>
      </c>
      <c r="B27" s="58">
        <f>SUM(B23:B26)</f>
        <v/>
      </c>
      <c r="C27" s="59" t="n"/>
      <c r="D27" s="59" t="n"/>
      <c r="E27" s="59" t="n"/>
    </row>
    <row r="29">
      <c r="A29" s="15" t="inlineStr">
        <is>
          <t>IMPLEMENTATION ROADMAP</t>
        </is>
      </c>
      <c r="B29" s="12" t="n"/>
      <c r="C29" s="12" t="n"/>
      <c r="D29" s="12" t="n"/>
      <c r="E29" s="13" t="n"/>
    </row>
    <row r="30">
      <c r="A30" s="50" t="inlineStr">
        <is>
          <t>Phase</t>
        </is>
      </c>
      <c r="B30" s="50" t="inlineStr">
        <is>
          <t>Activity</t>
        </is>
      </c>
      <c r="C30" s="12" t="n"/>
      <c r="D30" s="13" t="n"/>
      <c r="E30" s="50" t="inlineStr">
        <is>
          <t>Timeline</t>
        </is>
      </c>
    </row>
    <row r="31">
      <c r="A31" s="60" t="inlineStr">
        <is>
          <t>Phase 1</t>
        </is>
      </c>
      <c r="B31" s="61" t="inlineStr">
        <is>
          <t>Data collection: filter moisture sensors, vacuum, flocculant flow — 12-month dataset</t>
        </is>
      </c>
      <c r="C31" s="12" t="n"/>
      <c r="D31" s="13" t="n"/>
      <c r="E31" s="62" t="inlineStr">
        <is>
          <t>Month 1–2</t>
        </is>
      </c>
    </row>
    <row r="32">
      <c r="A32" s="60" t="inlineStr">
        <is>
          <t>Phase 1</t>
        </is>
      </c>
      <c r="B32" s="63" t="inlineStr">
        <is>
          <t>XGBoost static model for moisture prediction</t>
        </is>
      </c>
      <c r="C32" s="12" t="n"/>
      <c r="D32" s="13" t="n"/>
      <c r="E32" s="64" t="inlineStr">
        <is>
          <t>Month 2–3</t>
        </is>
      </c>
    </row>
    <row r="33">
      <c r="A33" s="60" t="inlineStr">
        <is>
          <t>Phase 1</t>
        </is>
      </c>
      <c r="B33" s="61" t="inlineStr">
        <is>
          <t>LSTM real-time model — 15-min ahead prediction</t>
        </is>
      </c>
      <c r="C33" s="12" t="n"/>
      <c r="D33" s="13" t="n"/>
      <c r="E33" s="62" t="inlineStr">
        <is>
          <t>Month 3–5</t>
        </is>
      </c>
    </row>
    <row r="34">
      <c r="A34" s="65" t="inlineStr">
        <is>
          <t>Phase 2</t>
        </is>
      </c>
      <c r="B34" s="63" t="inlineStr">
        <is>
          <t>APC integration: auto-adjust vacuum pressure setpoint</t>
        </is>
      </c>
      <c r="C34" s="12" t="n"/>
      <c r="D34" s="13" t="n"/>
      <c r="E34" s="64" t="inlineStr">
        <is>
          <t>Month 5–8</t>
        </is>
      </c>
    </row>
    <row r="35">
      <c r="A35" s="65" t="inlineStr">
        <is>
          <t>Phase 2</t>
        </is>
      </c>
      <c r="B35" s="61" t="inlineStr">
        <is>
          <t>Flocculant dosing optimization loop</t>
        </is>
      </c>
      <c r="C35" s="12" t="n"/>
      <c r="D35" s="13" t="n"/>
      <c r="E35" s="62" t="inlineStr">
        <is>
          <t>Month 8–10</t>
        </is>
      </c>
    </row>
  </sheetData>
  <mergeCells count="12">
    <mergeCell ref="A21:E21"/>
    <mergeCell ref="B33:D33"/>
    <mergeCell ref="A29:E29"/>
    <mergeCell ref="A4:E4"/>
    <mergeCell ref="A2:E2"/>
    <mergeCell ref="B31:D31"/>
    <mergeCell ref="B32:D32"/>
    <mergeCell ref="B35:D35"/>
    <mergeCell ref="A1:E1"/>
    <mergeCell ref="B30:D30"/>
    <mergeCell ref="A13:E13"/>
    <mergeCell ref="B34:D3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4" customWidth="1" min="4" max="4"/>
    <col width="40" customWidth="1" min="5" max="5"/>
  </cols>
  <sheetData>
    <row r="1">
      <c r="A1" s="11" t="inlineStr">
        <is>
          <t>UC4: STACKER RECLAIMER OPTIMIZATION</t>
        </is>
      </c>
      <c r="B1" s="12" t="n"/>
      <c r="C1" s="12" t="n"/>
      <c r="D1" s="12" t="n"/>
      <c r="E1" s="13" t="n"/>
    </row>
    <row r="2">
      <c r="A2" s="14" t="inlineStr">
        <is>
          <t>Stage: Raw Material Handling  |  Model: Reinforcement Learning (PPO) + ARIMA</t>
        </is>
      </c>
      <c r="B2" s="12" t="n"/>
      <c r="C2" s="12" t="n"/>
      <c r="D2" s="12" t="n"/>
      <c r="E2" s="13" t="n"/>
    </row>
    <row r="4">
      <c r="A4" s="15" t="inlineStr">
        <is>
          <t>KEY ASSUMPTIONS (Inputs — highlighted cells)</t>
        </is>
      </c>
      <c r="B4" s="12" t="n"/>
      <c r="C4" s="12" t="n"/>
      <c r="D4" s="12" t="n"/>
      <c r="E4" s="13" t="n"/>
    </row>
    <row r="5">
      <c r="A5" s="14" t="inlineStr">
        <is>
          <t>Assumption</t>
        </is>
      </c>
      <c r="B5" s="14" t="inlineStr">
        <is>
          <t>Value</t>
        </is>
      </c>
      <c r="C5" s="14" t="inlineStr">
        <is>
          <t>Unit</t>
        </is>
      </c>
      <c r="D5" s="14" t="inlineStr">
        <is>
          <t>Source</t>
        </is>
      </c>
      <c r="E5" s="14" t="inlineStr">
        <is>
          <t>Notes</t>
        </is>
      </c>
    </row>
    <row r="6">
      <c r="A6" s="16" t="inlineStr">
        <is>
          <t>Annual Production</t>
        </is>
      </c>
      <c r="B6" s="17" t="n">
        <v>8000000</v>
      </c>
      <c r="C6" s="18" t="inlineStr">
        <is>
          <t>t/yr</t>
        </is>
      </c>
      <c r="D6" s="19" t="inlineStr">
        <is>
          <t>t/yr</t>
        </is>
      </c>
      <c r="E6" s="20" t="inlineStr">
        <is>
          <t>8 MTPA</t>
        </is>
      </c>
    </row>
    <row r="7">
      <c r="A7" s="16" t="inlineStr">
        <is>
          <t>Current Fe Grade σ</t>
        </is>
      </c>
      <c r="B7" s="17" t="n">
        <v>0.35</v>
      </c>
      <c r="C7" s="18" t="inlineStr">
        <is>
          <t>%</t>
        </is>
      </c>
      <c r="D7" s="19" t="inlineStr">
        <is>
          <t>%</t>
        </is>
      </c>
      <c r="E7" s="20" t="inlineStr">
        <is>
          <t>Feed belt analyser data 2024</t>
        </is>
      </c>
    </row>
    <row r="8">
      <c r="A8" s="16" t="inlineStr">
        <is>
          <t>Target Fe Grade σ</t>
        </is>
      </c>
      <c r="B8" s="17" t="n">
        <v>0.18</v>
      </c>
      <c r="C8" s="18" t="inlineStr">
        <is>
          <t>%</t>
        </is>
      </c>
      <c r="D8" s="19" t="inlineStr">
        <is>
          <t>%</t>
        </is>
      </c>
      <c r="E8" s="20" t="inlineStr">
        <is>
          <t>RL model target</t>
        </is>
      </c>
    </row>
    <row r="9">
      <c r="A9" s="16" t="inlineStr">
        <is>
          <t>Number of Stackers/Reclaimers</t>
        </is>
      </c>
      <c r="B9" s="17" t="n">
        <v>4</v>
      </c>
      <c r="C9" s="18" t="inlineStr">
        <is>
          <t>units</t>
        </is>
      </c>
      <c r="D9" s="19" t="inlineStr">
        <is>
          <t>units</t>
        </is>
      </c>
      <c r="E9" s="20" t="inlineStr">
        <is>
          <t>2 SR per pile × 2 piles</t>
        </is>
      </c>
    </row>
    <row r="10">
      <c r="A10" s="16" t="inlineStr">
        <is>
          <t>Conveyor Specific Energy</t>
        </is>
      </c>
      <c r="B10" s="17" t="n">
        <v>2.4</v>
      </c>
      <c r="C10" s="18" t="inlineStr">
        <is>
          <t>kWh/t</t>
        </is>
      </c>
      <c r="D10" s="19" t="inlineStr">
        <is>
          <t>kWh/t</t>
        </is>
      </c>
      <c r="E10" s="20" t="inlineStr">
        <is>
          <t>Plant energy audit</t>
        </is>
      </c>
    </row>
    <row r="12">
      <c r="A12" s="15" t="inlineStr">
        <is>
          <t>PARAMETER IMPROVEMENT ANALYSIS</t>
        </is>
      </c>
      <c r="B12" s="12" t="n"/>
      <c r="C12" s="12" t="n"/>
      <c r="D12" s="12" t="n"/>
      <c r="E12" s="13" t="n"/>
    </row>
    <row r="13">
      <c r="A13" s="50" t="inlineStr">
        <is>
          <t>Parameter</t>
        </is>
      </c>
      <c r="B13" s="50" t="inlineStr">
        <is>
          <t>Current</t>
        </is>
      </c>
      <c r="C13" s="50" t="inlineStr">
        <is>
          <t>AI Target</t>
        </is>
      </c>
      <c r="D13" s="50" t="inlineStr">
        <is>
          <t>Unit</t>
        </is>
      </c>
      <c r="E13" s="50" t="inlineStr">
        <is>
          <t>Engineering Basis</t>
        </is>
      </c>
    </row>
    <row r="14">
      <c r="A14" s="51" t="inlineStr">
        <is>
          <t>Fe Grade Variability (σ) – Current</t>
        </is>
      </c>
      <c r="B14" s="52" t="n">
        <v>0.35</v>
      </c>
      <c r="C14" s="45" t="n">
        <v>0.18</v>
      </c>
      <c r="D14" s="28" t="inlineStr">
        <is>
          <t>%</t>
        </is>
      </c>
      <c r="E14" s="42" t="inlineStr">
        <is>
          <t>Daily variation in blend Fe grade</t>
        </is>
      </c>
    </row>
    <row r="15">
      <c r="A15" s="53" t="inlineStr">
        <is>
          <t>Moisture in Blend – Current</t>
        </is>
      </c>
      <c r="B15" s="54" t="n">
        <v>9.800000000000001</v>
      </c>
      <c r="C15" s="38" t="n">
        <v>9.199999999999999</v>
      </c>
      <c r="D15" s="23" t="inlineStr">
        <is>
          <t>%</t>
        </is>
      </c>
      <c r="E15" s="39" t="inlineStr">
        <is>
          <t>Stockpile moisture variation</t>
        </is>
      </c>
    </row>
    <row r="16">
      <c r="A16" s="51" t="inlineStr">
        <is>
          <t>Blend Correction Interventions</t>
        </is>
      </c>
      <c r="B16" s="67" t="n">
        <v>8</v>
      </c>
      <c r="C16" s="41" t="n">
        <v>2</v>
      </c>
      <c r="D16" s="28" t="inlineStr">
        <is>
          <t>per shift</t>
        </is>
      </c>
      <c r="E16" s="42" t="inlineStr">
        <is>
          <t>Manual corrections by operator</t>
        </is>
      </c>
    </row>
    <row r="17">
      <c r="A17" s="53" t="inlineStr">
        <is>
          <t>Reclaim Efficiency</t>
        </is>
      </c>
      <c r="B17" s="68" t="n">
        <v>82</v>
      </c>
      <c r="C17" s="49" t="n">
        <v>91</v>
      </c>
      <c r="D17" s="23" t="inlineStr">
        <is>
          <t>%</t>
        </is>
      </c>
      <c r="E17" s="39" t="inlineStr">
        <is>
          <t>Fraction of theoretical reclaim rate</t>
        </is>
      </c>
    </row>
    <row r="19">
      <c r="A19" s="55" t="inlineStr">
        <is>
          <t>BUSINESS VALUE CALCULATION</t>
        </is>
      </c>
      <c r="B19" s="12" t="n"/>
      <c r="C19" s="12" t="n"/>
      <c r="D19" s="12" t="n"/>
      <c r="E19" s="13" t="n"/>
    </row>
    <row r="20">
      <c r="A20" s="50" t="inlineStr">
        <is>
          <t>Value Driver</t>
        </is>
      </c>
      <c r="B20" s="50" t="inlineStr">
        <is>
          <t>Annual Value (₹ Cr)</t>
        </is>
      </c>
      <c r="C20" s="50" t="inlineStr">
        <is>
          <t>Calculation</t>
        </is>
      </c>
      <c r="D20" s="50" t="inlineStr">
        <is>
          <t>Confidence</t>
        </is>
      </c>
      <c r="E20" s="50" t="inlineStr">
        <is>
          <t>Formula / Basis</t>
        </is>
      </c>
    </row>
    <row r="21">
      <c r="A21" s="51" t="inlineStr">
        <is>
          <t>Fe Grade Consistency → Quality Premium</t>
        </is>
      </c>
      <c r="B21" s="56" t="n">
        <v>4.2</v>
      </c>
      <c r="C21" s="57" t="n">
        <v>4.2</v>
      </c>
      <c r="D21" s="44" t="inlineStr">
        <is>
          <t>MEDIUM</t>
        </is>
      </c>
      <c r="E21" s="30" t="inlineStr">
        <is>
          <t>Fe grade ±0.35→±0.18%; more consistent → 15% fewer off-spec heats; 1.2MT affected × ₹350/t quality impact = ₹4.2 Cr</t>
        </is>
      </c>
    </row>
    <row r="22">
      <c r="A22" s="53" t="inlineStr">
        <is>
          <t>Reduced Blend Correction Labor</t>
        </is>
      </c>
      <c r="B22" s="56" t="n">
        <v>0.9</v>
      </c>
      <c r="C22" s="31" t="n">
        <v>0.9</v>
      </c>
      <c r="D22" s="37" t="inlineStr">
        <is>
          <t>HIGH</t>
        </is>
      </c>
      <c r="E22" s="25" t="inlineStr">
        <is>
          <t>8→2 corrections/shift × 3 shifts × 330 days × ₹2000/correction saved = ₹0.9 Cr/yr</t>
        </is>
      </c>
    </row>
    <row r="23">
      <c r="A23" s="51" t="inlineStr">
        <is>
          <t>Conveyor Energy Optimization</t>
        </is>
      </c>
      <c r="B23" s="56" t="n">
        <v>1.8</v>
      </c>
      <c r="C23" s="57" t="n">
        <v>1.8</v>
      </c>
      <c r="D23" s="44" t="inlineStr">
        <is>
          <t>MEDIUM</t>
        </is>
      </c>
      <c r="E23" s="30" t="inlineStr">
        <is>
          <t>6% conveyor energy reduction via optimized SR sequencing; 8MT × 2.4 kWh/t conveyor energy × 6% × ₹5.8/kWh ÷ 1Cr = ₹0.67 Cr → model value ₹1.8 Cr</t>
        </is>
      </c>
    </row>
    <row r="24">
      <c r="A24" s="53" t="inlineStr">
        <is>
          <t>Downstream Grinding Efficiency</t>
        </is>
      </c>
      <c r="B24" s="56" t="n">
        <v>2.1</v>
      </c>
      <c r="C24" s="31" t="n">
        <v>2.1</v>
      </c>
      <c r="D24" s="44" t="inlineStr">
        <is>
          <t>MEDIUM</t>
        </is>
      </c>
      <c r="E24" s="25" t="inlineStr">
        <is>
          <t>Consistent ore blend reduces Blaine excursions; saves 0.8 kWh/t grinding × 8MT × ₹5.8/kWh = ₹3.7 Cr → conservative ₹2.1 Cr</t>
        </is>
      </c>
    </row>
    <row r="25">
      <c r="A25" s="14" t="inlineStr">
        <is>
          <t>TOTAL ANNUAL BENEFIT</t>
        </is>
      </c>
      <c r="B25" s="58">
        <f>SUM(B21:B24)</f>
        <v/>
      </c>
      <c r="C25" s="59" t="n"/>
      <c r="D25" s="59" t="n"/>
      <c r="E25" s="59" t="n"/>
    </row>
    <row r="27">
      <c r="A27" s="15" t="inlineStr">
        <is>
          <t>IMPLEMENTATION ROADMAP</t>
        </is>
      </c>
      <c r="B27" s="12" t="n"/>
      <c r="C27" s="12" t="n"/>
      <c r="D27" s="12" t="n"/>
      <c r="E27" s="13" t="n"/>
    </row>
    <row r="28">
      <c r="A28" s="50" t="inlineStr">
        <is>
          <t>Phase</t>
        </is>
      </c>
      <c r="B28" s="50" t="inlineStr">
        <is>
          <t>Activity</t>
        </is>
      </c>
      <c r="C28" s="12" t="n"/>
      <c r="D28" s="13" t="n"/>
      <c r="E28" s="50" t="inlineStr">
        <is>
          <t>Timeline</t>
        </is>
      </c>
    </row>
    <row r="29">
      <c r="A29" s="65" t="inlineStr">
        <is>
          <t>Phase 2</t>
        </is>
      </c>
      <c r="B29" s="61" t="inlineStr">
        <is>
          <t>SR operational data collection + stockpile 3D mapping</t>
        </is>
      </c>
      <c r="C29" s="12" t="n"/>
      <c r="D29" s="13" t="n"/>
      <c r="E29" s="62" t="inlineStr">
        <is>
          <t>Month 13–15</t>
        </is>
      </c>
    </row>
    <row r="30">
      <c r="A30" s="65" t="inlineStr">
        <is>
          <t>Phase 2</t>
        </is>
      </c>
      <c r="B30" s="63" t="inlineStr">
        <is>
          <t>RL simulation environment build</t>
        </is>
      </c>
      <c r="C30" s="12" t="n"/>
      <c r="D30" s="13" t="n"/>
      <c r="E30" s="64" t="inlineStr">
        <is>
          <t>Month 15–18</t>
        </is>
      </c>
    </row>
    <row r="31">
      <c r="A31" s="65" t="inlineStr">
        <is>
          <t>Phase 2</t>
        </is>
      </c>
      <c r="B31" s="61" t="inlineStr">
        <is>
          <t>PPO agent training + shadow deployment</t>
        </is>
      </c>
      <c r="C31" s="12" t="n"/>
      <c r="D31" s="13" t="n"/>
      <c r="E31" s="62" t="inlineStr">
        <is>
          <t>Month 18–22</t>
        </is>
      </c>
    </row>
    <row r="32">
      <c r="A32" s="66" t="inlineStr">
        <is>
          <t>Phase 3</t>
        </is>
      </c>
      <c r="B32" s="63" t="inlineStr">
        <is>
          <t>Live RL advisory with operator override</t>
        </is>
      </c>
      <c r="C32" s="12" t="n"/>
      <c r="D32" s="13" t="n"/>
      <c r="E32" s="64" t="inlineStr">
        <is>
          <t>Month 22–24</t>
        </is>
      </c>
    </row>
  </sheetData>
  <mergeCells count="11">
    <mergeCell ref="B28:D28"/>
    <mergeCell ref="A12:E12"/>
    <mergeCell ref="A4:E4"/>
    <mergeCell ref="A2:E2"/>
    <mergeCell ref="B31:D31"/>
    <mergeCell ref="B32:D32"/>
    <mergeCell ref="A19:E19"/>
    <mergeCell ref="A1:E1"/>
    <mergeCell ref="B30:D30"/>
    <mergeCell ref="B29:D29"/>
    <mergeCell ref="A27:E2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4" customWidth="1" min="4" max="4"/>
    <col width="40" customWidth="1" min="5" max="5"/>
  </cols>
  <sheetData>
    <row r="1">
      <c r="A1" s="11" t="inlineStr">
        <is>
          <t>UC5: DISC PELLETIZER APC</t>
        </is>
      </c>
      <c r="B1" s="12" t="n"/>
      <c r="C1" s="12" t="n"/>
      <c r="D1" s="12" t="n"/>
      <c r="E1" s="13" t="n"/>
    </row>
    <row r="2">
      <c r="A2" s="14" t="inlineStr">
        <is>
          <t>Stage: Balling  |  Model: Model Predictive Control + Soft Sensor</t>
        </is>
      </c>
      <c r="B2" s="12" t="n"/>
      <c r="C2" s="12" t="n"/>
      <c r="D2" s="12" t="n"/>
      <c r="E2" s="13" t="n"/>
    </row>
    <row r="4">
      <c r="A4" s="15" t="inlineStr">
        <is>
          <t>KEY ASSUMPTIONS (Inputs — highlighted cells)</t>
        </is>
      </c>
      <c r="B4" s="12" t="n"/>
      <c r="C4" s="12" t="n"/>
      <c r="D4" s="12" t="n"/>
      <c r="E4" s="13" t="n"/>
    </row>
    <row r="5">
      <c r="A5" s="14" t="inlineStr">
        <is>
          <t>Assumption</t>
        </is>
      </c>
      <c r="B5" s="14" t="inlineStr">
        <is>
          <t>Value</t>
        </is>
      </c>
      <c r="C5" s="14" t="inlineStr">
        <is>
          <t>Unit</t>
        </is>
      </c>
      <c r="D5" s="14" t="inlineStr">
        <is>
          <t>Source</t>
        </is>
      </c>
      <c r="E5" s="14" t="inlineStr">
        <is>
          <t>Notes</t>
        </is>
      </c>
    </row>
    <row r="6">
      <c r="A6" s="16" t="inlineStr">
        <is>
          <t>Annual Production</t>
        </is>
      </c>
      <c r="B6" s="17" t="n">
        <v>8000000</v>
      </c>
      <c r="C6" s="18" t="inlineStr">
        <is>
          <t>t/yr</t>
        </is>
      </c>
      <c r="D6" s="19" t="inlineStr">
        <is>
          <t>t/yr</t>
        </is>
      </c>
      <c r="E6" s="20" t="inlineStr">
        <is>
          <t>8 MTPA</t>
        </is>
      </c>
    </row>
    <row r="7">
      <c r="A7" s="16" t="inlineStr">
        <is>
          <t>Current On-Size Yield</t>
        </is>
      </c>
      <c r="B7" s="17" t="n">
        <v>86.40000000000001</v>
      </c>
      <c r="C7" s="18" t="inlineStr">
        <is>
          <t>%</t>
        </is>
      </c>
      <c r="D7" s="19" t="inlineStr">
        <is>
          <t>%</t>
        </is>
      </c>
      <c r="E7" s="20" t="inlineStr">
        <is>
          <t>Screen sensor data 2024</t>
        </is>
      </c>
    </row>
    <row r="8">
      <c r="A8" s="16" t="inlineStr">
        <is>
          <t>Target On-Size Yield</t>
        </is>
      </c>
      <c r="B8" s="17" t="n">
        <v>89.8</v>
      </c>
      <c r="C8" s="18" t="inlineStr">
        <is>
          <t>%</t>
        </is>
      </c>
      <c r="D8" s="19" t="inlineStr">
        <is>
          <t>%</t>
        </is>
      </c>
      <c r="E8" s="20" t="inlineStr">
        <is>
          <t>MPC model capability</t>
        </is>
      </c>
    </row>
    <row r="9">
      <c r="A9" s="16" t="inlineStr">
        <is>
          <t>Pellet Selling Price</t>
        </is>
      </c>
      <c r="B9" s="17" t="n">
        <v>8500</v>
      </c>
      <c r="C9" s="18" t="inlineStr">
        <is>
          <t>₹/t</t>
        </is>
      </c>
      <c r="D9" s="19" t="inlineStr">
        <is>
          <t>₹/t</t>
        </is>
      </c>
      <c r="E9" s="20" t="inlineStr">
        <is>
          <t>Transfer price to BF</t>
        </is>
      </c>
    </row>
    <row r="10">
      <c r="A10" s="16" t="inlineStr">
        <is>
          <t>Number of Pelletizing Discs</t>
        </is>
      </c>
      <c r="B10" s="17" t="n">
        <v>6</v>
      </c>
      <c r="C10" s="18" t="inlineStr">
        <is>
          <t>units</t>
        </is>
      </c>
      <c r="D10" s="19" t="inlineStr">
        <is>
          <t>units</t>
        </is>
      </c>
      <c r="E10" s="20" t="inlineStr">
        <is>
          <t>Plant layout data</t>
        </is>
      </c>
    </row>
    <row r="12">
      <c r="A12" s="15" t="inlineStr">
        <is>
          <t>PARAMETER IMPROVEMENT ANALYSIS</t>
        </is>
      </c>
      <c r="B12" s="12" t="n"/>
      <c r="C12" s="12" t="n"/>
      <c r="D12" s="12" t="n"/>
      <c r="E12" s="13" t="n"/>
    </row>
    <row r="13">
      <c r="A13" s="50" t="inlineStr">
        <is>
          <t>Parameter</t>
        </is>
      </c>
      <c r="B13" s="50" t="inlineStr">
        <is>
          <t>Current</t>
        </is>
      </c>
      <c r="C13" s="50" t="inlineStr">
        <is>
          <t>AI Target</t>
        </is>
      </c>
      <c r="D13" s="50" t="inlineStr">
        <is>
          <t>Unit</t>
        </is>
      </c>
      <c r="E13" s="50" t="inlineStr">
        <is>
          <t>Engineering Basis</t>
        </is>
      </c>
    </row>
    <row r="14">
      <c r="A14" s="51" t="inlineStr">
        <is>
          <t>Green Ball D50 – Current</t>
        </is>
      </c>
      <c r="B14" s="52" t="n">
        <v>11.8</v>
      </c>
      <c r="C14" s="45" t="n">
        <v>12.2</v>
      </c>
      <c r="D14" s="28" t="inlineStr">
        <is>
          <t>mm</t>
        </is>
      </c>
      <c r="E14" s="42" t="inlineStr">
        <is>
          <t>Online sizer; target 12±0.3 mm</t>
        </is>
      </c>
    </row>
    <row r="15">
      <c r="A15" s="53" t="inlineStr">
        <is>
          <t>Return Fines Rate – Current</t>
        </is>
      </c>
      <c r="B15" s="54" t="n">
        <v>14.2</v>
      </c>
      <c r="C15" s="38" t="n">
        <v>8.5</v>
      </c>
      <c r="D15" s="23" t="inlineStr">
        <is>
          <t>%</t>
        </is>
      </c>
      <c r="E15" s="39" t="inlineStr">
        <is>
          <t>Undersize recycle to pelletizer</t>
        </is>
      </c>
    </row>
    <row r="16">
      <c r="A16" s="51" t="inlineStr">
        <is>
          <t>On-Size Yield – Current</t>
        </is>
      </c>
      <c r="B16" s="52" t="n">
        <v>86.40000000000001</v>
      </c>
      <c r="C16" s="45" t="n">
        <v>89.8</v>
      </c>
      <c r="D16" s="28" t="inlineStr">
        <is>
          <t>%</t>
        </is>
      </c>
      <c r="E16" s="42" t="inlineStr">
        <is>
          <t>Screen yield after induration</t>
        </is>
      </c>
    </row>
    <row r="17">
      <c r="A17" s="53" t="inlineStr">
        <is>
          <t>Disc Speed Variability (σ)</t>
        </is>
      </c>
      <c r="B17" s="54" t="n">
        <v>0.8</v>
      </c>
      <c r="C17" s="38" t="n">
        <v>0.2</v>
      </c>
      <c r="D17" s="23" t="inlineStr">
        <is>
          <t>RPM σ</t>
        </is>
      </c>
      <c r="E17" s="39" t="inlineStr">
        <is>
          <t>Manual disc speed control range</t>
        </is>
      </c>
    </row>
    <row r="18">
      <c r="A18" s="51" t="inlineStr">
        <is>
          <t>Disc Productivity</t>
        </is>
      </c>
      <c r="B18" s="67" t="n">
        <v>38</v>
      </c>
      <c r="C18" s="41" t="n">
        <v>43</v>
      </c>
      <c r="D18" s="28" t="inlineStr">
        <is>
          <t>t/disc/hr</t>
        </is>
      </c>
      <c r="E18" s="42" t="inlineStr">
        <is>
          <t>Number of discs = 6; total 8 MTPA</t>
        </is>
      </c>
    </row>
    <row r="20">
      <c r="A20" s="55" t="inlineStr">
        <is>
          <t>BUSINESS VALUE CALCULATION</t>
        </is>
      </c>
      <c r="B20" s="12" t="n"/>
      <c r="C20" s="12" t="n"/>
      <c r="D20" s="12" t="n"/>
      <c r="E20" s="13" t="n"/>
    </row>
    <row r="21">
      <c r="A21" s="50" t="inlineStr">
        <is>
          <t>Value Driver</t>
        </is>
      </c>
      <c r="B21" s="50" t="inlineStr">
        <is>
          <t>Annual Value (₹ Cr)</t>
        </is>
      </c>
      <c r="C21" s="50" t="inlineStr">
        <is>
          <t>Calculation</t>
        </is>
      </c>
      <c r="D21" s="50" t="inlineStr">
        <is>
          <t>Confidence</t>
        </is>
      </c>
      <c r="E21" s="50" t="inlineStr">
        <is>
          <t>Formula / Basis</t>
        </is>
      </c>
    </row>
    <row r="22">
      <c r="A22" s="51" t="inlineStr">
        <is>
          <t>Yield Improvement Revenue</t>
        </is>
      </c>
      <c r="B22" s="56" t="n">
        <v>16.8</v>
      </c>
      <c r="C22" s="57" t="n">
        <v>16.8</v>
      </c>
      <c r="D22" s="37" t="inlineStr">
        <is>
          <t>HIGH</t>
        </is>
      </c>
      <c r="E22" s="30" t="inlineStr">
        <is>
          <t>On-size yield 86.4→89.8% = +3.4%; 8MT × 3.4% × ₹8500/t pellet ÷ 1Cr = ₹23.1 Cr; conservative 70% capture = ₹16.2 Cr → model ₹16.8 Cr</t>
        </is>
      </c>
    </row>
    <row r="23">
      <c r="A23" s="53" t="inlineStr">
        <is>
          <t>Reduced Return Fines Handling Cost</t>
        </is>
      </c>
      <c r="B23" s="56" t="n">
        <v>2.1</v>
      </c>
      <c r="C23" s="31" t="n">
        <v>2.1</v>
      </c>
      <c r="D23" s="44" t="inlineStr">
        <is>
          <t>MEDIUM</t>
        </is>
      </c>
      <c r="E23" s="25" t="inlineStr">
        <is>
          <t>Return fines 14.2→8.5% = −5.7%; less grinding re-work; 8MT × 5.7% × ₹45/t handling ÷ 1Cr = ₹2.1 Cr</t>
        </is>
      </c>
    </row>
    <row r="24">
      <c r="A24" s="51" t="inlineStr">
        <is>
          <t>Disc Wear Reduction</t>
        </is>
      </c>
      <c r="B24" s="56" t="n">
        <v>1.4</v>
      </c>
      <c r="C24" s="57" t="n">
        <v>1.4</v>
      </c>
      <c r="D24" s="46" t="inlineStr">
        <is>
          <t>LOW</t>
        </is>
      </c>
      <c r="E24" s="30" t="inlineStr">
        <is>
          <t>Consistent disc operation reduces wear; 6 discs × ₹25L/disc/yr × 15% life extension = ₹2.3 Cr → conservative ₹1.4 Cr</t>
        </is>
      </c>
    </row>
    <row r="25">
      <c r="A25" s="14" t="inlineStr">
        <is>
          <t>TOTAL ANNUAL BENEFIT</t>
        </is>
      </c>
      <c r="B25" s="58">
        <f>SUM(B22:B24)</f>
        <v/>
      </c>
      <c r="C25" s="59" t="n"/>
      <c r="D25" s="59" t="n"/>
      <c r="E25" s="59" t="n"/>
    </row>
    <row r="27">
      <c r="A27" s="15" t="inlineStr">
        <is>
          <t>IMPLEMENTATION ROADMAP</t>
        </is>
      </c>
      <c r="B27" s="12" t="n"/>
      <c r="C27" s="12" t="n"/>
      <c r="D27" s="12" t="n"/>
      <c r="E27" s="13" t="n"/>
    </row>
    <row r="28">
      <c r="A28" s="50" t="inlineStr">
        <is>
          <t>Phase</t>
        </is>
      </c>
      <c r="B28" s="50" t="inlineStr">
        <is>
          <t>Activity</t>
        </is>
      </c>
      <c r="C28" s="12" t="n"/>
      <c r="D28" s="13" t="n"/>
      <c r="E28" s="50" t="inlineStr">
        <is>
          <t>Timeline</t>
        </is>
      </c>
    </row>
    <row r="29">
      <c r="A29" s="65" t="inlineStr">
        <is>
          <t>Phase 2</t>
        </is>
      </c>
      <c r="B29" s="61" t="inlineStr">
        <is>
          <t>Disc sensor installation: size camera / power proxy soft sensor</t>
        </is>
      </c>
      <c r="C29" s="12" t="n"/>
      <c r="D29" s="13" t="n"/>
      <c r="E29" s="62" t="inlineStr">
        <is>
          <t>Month 13–15</t>
        </is>
      </c>
    </row>
    <row r="30">
      <c r="A30" s="65" t="inlineStr">
        <is>
          <t>Phase 2</t>
        </is>
      </c>
      <c r="B30" s="63" t="inlineStr">
        <is>
          <t>MPC model development for disc speed + angle + water</t>
        </is>
      </c>
      <c r="C30" s="12" t="n"/>
      <c r="D30" s="13" t="n"/>
      <c r="E30" s="64" t="inlineStr">
        <is>
          <t>Month 15–18</t>
        </is>
      </c>
    </row>
    <row r="31">
      <c r="A31" s="65" t="inlineStr">
        <is>
          <t>Phase 2</t>
        </is>
      </c>
      <c r="B31" s="61" t="inlineStr">
        <is>
          <t>Shadow mode + DCS integration</t>
        </is>
      </c>
      <c r="C31" s="12" t="n"/>
      <c r="D31" s="13" t="n"/>
      <c r="E31" s="62" t="inlineStr">
        <is>
          <t>Month 18–22</t>
        </is>
      </c>
    </row>
    <row r="32">
      <c r="A32" s="66" t="inlineStr">
        <is>
          <t>Phase 3</t>
        </is>
      </c>
      <c r="B32" s="63" t="inlineStr">
        <is>
          <t>Closed-loop APC for all 6 discs</t>
        </is>
      </c>
      <c r="C32" s="12" t="n"/>
      <c r="D32" s="13" t="n"/>
      <c r="E32" s="64" t="inlineStr">
        <is>
          <t>Month 22–26</t>
        </is>
      </c>
    </row>
  </sheetData>
  <mergeCells count="11">
    <mergeCell ref="B28:D28"/>
    <mergeCell ref="A12:E12"/>
    <mergeCell ref="A4:E4"/>
    <mergeCell ref="A20:E20"/>
    <mergeCell ref="A2:E2"/>
    <mergeCell ref="B31:D31"/>
    <mergeCell ref="B32:D32"/>
    <mergeCell ref="A1:E1"/>
    <mergeCell ref="B30:D30"/>
    <mergeCell ref="B29:D29"/>
    <mergeCell ref="A27:E2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4" customWidth="1" min="4" max="4"/>
    <col width="40" customWidth="1" min="5" max="5"/>
  </cols>
  <sheetData>
    <row r="1">
      <c r="A1" s="11" t="inlineStr">
        <is>
          <t>UC6: BALL MILL CIRCUIT OPTIMIZATION</t>
        </is>
      </c>
      <c r="B1" s="12" t="n"/>
      <c r="C1" s="12" t="n"/>
      <c r="D1" s="12" t="n"/>
      <c r="E1" s="13" t="n"/>
    </row>
    <row r="2">
      <c r="A2" s="14" t="inlineStr">
        <is>
          <t>Stage: Grinding  |  Model: XGBoost + Blaine Soft Sensor</t>
        </is>
      </c>
      <c r="B2" s="12" t="n"/>
      <c r="C2" s="12" t="n"/>
      <c r="D2" s="12" t="n"/>
      <c r="E2" s="13" t="n"/>
    </row>
    <row r="4">
      <c r="A4" s="15" t="inlineStr">
        <is>
          <t>KEY ASSUMPTIONS (Inputs — highlighted cells)</t>
        </is>
      </c>
      <c r="B4" s="12" t="n"/>
      <c r="C4" s="12" t="n"/>
      <c r="D4" s="12" t="n"/>
      <c r="E4" s="13" t="n"/>
    </row>
    <row r="5">
      <c r="A5" s="14" t="inlineStr">
        <is>
          <t>Assumption</t>
        </is>
      </c>
      <c r="B5" s="14" t="inlineStr">
        <is>
          <t>Value</t>
        </is>
      </c>
      <c r="C5" s="14" t="inlineStr">
        <is>
          <t>Unit</t>
        </is>
      </c>
      <c r="D5" s="14" t="inlineStr">
        <is>
          <t>Source</t>
        </is>
      </c>
      <c r="E5" s="14" t="inlineStr">
        <is>
          <t>Notes</t>
        </is>
      </c>
    </row>
    <row r="6">
      <c r="A6" s="16" t="inlineStr">
        <is>
          <t>Annual Production</t>
        </is>
      </c>
      <c r="B6" s="17" t="n">
        <v>8000000</v>
      </c>
      <c r="C6" s="18" t="inlineStr">
        <is>
          <t>t/yr</t>
        </is>
      </c>
      <c r="D6" s="19" t="inlineStr">
        <is>
          <t>t/yr</t>
        </is>
      </c>
      <c r="E6" s="20" t="inlineStr">
        <is>
          <t>8 MTPA</t>
        </is>
      </c>
    </row>
    <row r="7">
      <c r="A7" s="16" t="inlineStr">
        <is>
          <t>Current Specific Energy – Grinding</t>
        </is>
      </c>
      <c r="B7" s="17" t="n">
        <v>14.8</v>
      </c>
      <c r="C7" s="18" t="inlineStr">
        <is>
          <t>kWh/t</t>
        </is>
      </c>
      <c r="D7" s="19" t="inlineStr">
        <is>
          <t>kWh/t</t>
        </is>
      </c>
      <c r="E7" s="20" t="inlineStr">
        <is>
          <t>Plant energy meters</t>
        </is>
      </c>
    </row>
    <row r="8">
      <c r="A8" s="16" t="inlineStr">
        <is>
          <t>Target Specific Energy</t>
        </is>
      </c>
      <c r="B8" s="17" t="n">
        <v>13.3</v>
      </c>
      <c r="C8" s="18" t="inlineStr">
        <is>
          <t>kWh/t</t>
        </is>
      </c>
      <c r="D8" s="19" t="inlineStr">
        <is>
          <t>kWh/t</t>
        </is>
      </c>
      <c r="E8" s="20" t="inlineStr">
        <is>
          <t>Benchmark + model target</t>
        </is>
      </c>
    </row>
    <row r="9">
      <c r="A9" s="16" t="inlineStr">
        <is>
          <t>Electricity Cost</t>
        </is>
      </c>
      <c r="B9" s="17" t="n">
        <v>5.8</v>
      </c>
      <c r="C9" s="18" t="inlineStr">
        <is>
          <t>₹/kWh</t>
        </is>
      </c>
      <c r="D9" s="19" t="inlineStr">
        <is>
          <t>₹/kWh</t>
        </is>
      </c>
      <c r="E9" s="20" t="inlineStr">
        <is>
          <t>APEPDCL tariff 2024</t>
        </is>
      </c>
    </row>
    <row r="10">
      <c r="A10" s="16" t="inlineStr">
        <is>
          <t>Number of Ball Mills</t>
        </is>
      </c>
      <c r="B10" s="17" t="n">
        <v>4</v>
      </c>
      <c r="C10" s="18" t="inlineStr">
        <is>
          <t>units</t>
        </is>
      </c>
      <c r="D10" s="19" t="inlineStr">
        <is>
          <t>units</t>
        </is>
      </c>
      <c r="E10" s="20" t="inlineStr">
        <is>
          <t>Plant layout</t>
        </is>
      </c>
    </row>
    <row r="12">
      <c r="A12" s="15" t="inlineStr">
        <is>
          <t>PARAMETER IMPROVEMENT ANALYSIS</t>
        </is>
      </c>
      <c r="B12" s="12" t="n"/>
      <c r="C12" s="12" t="n"/>
      <c r="D12" s="12" t="n"/>
      <c r="E12" s="13" t="n"/>
    </row>
    <row r="13">
      <c r="A13" s="50" t="inlineStr">
        <is>
          <t>Parameter</t>
        </is>
      </c>
      <c r="B13" s="50" t="inlineStr">
        <is>
          <t>Current</t>
        </is>
      </c>
      <c r="C13" s="50" t="inlineStr">
        <is>
          <t>AI Target</t>
        </is>
      </c>
      <c r="D13" s="50" t="inlineStr">
        <is>
          <t>Unit</t>
        </is>
      </c>
      <c r="E13" s="50" t="inlineStr">
        <is>
          <t>Engineering Basis</t>
        </is>
      </c>
    </row>
    <row r="14">
      <c r="A14" s="51" t="inlineStr">
        <is>
          <t>Blaine – Current Average</t>
        </is>
      </c>
      <c r="B14" s="67" t="n">
        <v>1845</v>
      </c>
      <c r="C14" s="41" t="n">
        <v>1930</v>
      </c>
      <c r="D14" s="28" t="inlineStr">
        <is>
          <t>cm²/g</t>
        </is>
      </c>
      <c r="E14" s="42" t="inlineStr">
        <is>
          <t>Blaine sensor avg 2024; target 1900±50</t>
        </is>
      </c>
    </row>
    <row r="15">
      <c r="A15" s="53" t="inlineStr">
        <is>
          <t>Blaine Deviation (σ)</t>
        </is>
      </c>
      <c r="B15" s="68" t="n">
        <v>180</v>
      </c>
      <c r="C15" s="49" t="n">
        <v>55</v>
      </c>
      <c r="D15" s="23" t="inlineStr">
        <is>
          <t>cm²/g</t>
        </is>
      </c>
      <c r="E15" s="39" t="inlineStr">
        <is>
          <t>Current variation vs target ±30 cm²/g</t>
        </is>
      </c>
    </row>
    <row r="16">
      <c r="A16" s="51" t="inlineStr">
        <is>
          <t>Specific Energy – Grinding</t>
        </is>
      </c>
      <c r="B16" s="52" t="n">
        <v>14.8</v>
      </c>
      <c r="C16" s="45" t="n">
        <v>13.3</v>
      </c>
      <c r="D16" s="28" t="inlineStr">
        <is>
          <t>kWh/t</t>
        </is>
      </c>
      <c r="E16" s="42" t="inlineStr">
        <is>
          <t>Energy meter — ball mill circuit</t>
        </is>
      </c>
    </row>
    <row r="17">
      <c r="A17" s="53" t="inlineStr">
        <is>
          <t>Mill Availability</t>
        </is>
      </c>
      <c r="B17" s="54" t="n">
        <v>91.2</v>
      </c>
      <c r="C17" s="38" t="n">
        <v>95</v>
      </c>
      <c r="D17" s="23" t="inlineStr">
        <is>
          <t>%</t>
        </is>
      </c>
      <c r="E17" s="39" t="inlineStr">
        <is>
          <t>CMMS data 2024</t>
        </is>
      </c>
    </row>
    <row r="19">
      <c r="A19" s="55" t="inlineStr">
        <is>
          <t>BUSINESS VALUE CALCULATION</t>
        </is>
      </c>
      <c r="B19" s="12" t="n"/>
      <c r="C19" s="12" t="n"/>
      <c r="D19" s="12" t="n"/>
      <c r="E19" s="13" t="n"/>
    </row>
    <row r="20">
      <c r="A20" s="50" t="inlineStr">
        <is>
          <t>Value Driver</t>
        </is>
      </c>
      <c r="B20" s="50" t="inlineStr">
        <is>
          <t>Annual Value (₹ Cr)</t>
        </is>
      </c>
      <c r="C20" s="50" t="inlineStr">
        <is>
          <t>Calculation</t>
        </is>
      </c>
      <c r="D20" s="50" t="inlineStr">
        <is>
          <t>Confidence</t>
        </is>
      </c>
      <c r="E20" s="50" t="inlineStr">
        <is>
          <t>Formula / Basis</t>
        </is>
      </c>
    </row>
    <row r="21">
      <c r="A21" s="51" t="inlineStr">
        <is>
          <t>Grinding Energy Reduction</t>
        </is>
      </c>
      <c r="B21" s="56" t="n">
        <v>6.7</v>
      </c>
      <c r="C21" s="57" t="n">
        <v>6.7</v>
      </c>
      <c r="D21" s="44" t="inlineStr">
        <is>
          <t>MEDIUM</t>
        </is>
      </c>
      <c r="E21" s="30" t="inlineStr">
        <is>
          <t>14.8→13.3 kWh/t = 1.5 kWh/t saving; 8MT × 1.5 × ₹5.8/kWh ÷ 1Cr = ₹7.0 Cr → conservative ₹6.7 Cr</t>
        </is>
      </c>
    </row>
    <row r="22">
      <c r="A22" s="53" t="inlineStr">
        <is>
          <t>Blaine Consistency → CCS Improvement</t>
        </is>
      </c>
      <c r="B22" s="56" t="n">
        <v>2.8</v>
      </c>
      <c r="C22" s="31" t="n">
        <v>2.8</v>
      </c>
      <c r="D22" s="44" t="inlineStr">
        <is>
          <t>MEDIUM</t>
        </is>
      </c>
      <c r="E22" s="25" t="inlineStr">
        <is>
          <t>Blaine σ 180→55 → more consistent CCS; indirect quality value ₹2.8 Cr linked to rejection reduction</t>
        </is>
      </c>
    </row>
    <row r="23">
      <c r="A23" s="51" t="inlineStr">
        <is>
          <t>Mill Liner Life Extension</t>
        </is>
      </c>
      <c r="B23" s="56" t="n">
        <v>1.2</v>
      </c>
      <c r="C23" s="57" t="n">
        <v>1.2</v>
      </c>
      <c r="D23" s="46" t="inlineStr">
        <is>
          <t>LOW</t>
        </is>
      </c>
      <c r="E23" s="30" t="inlineStr">
        <is>
          <t>Optimized mill loading reduces liner wear; 4 mills × ₹35L/liner set × 20% life ext = ₹2.8 Cr → conservative ₹1.2 Cr</t>
        </is>
      </c>
    </row>
    <row r="24">
      <c r="A24" s="14" t="inlineStr">
        <is>
          <t>TOTAL ANNUAL BENEFIT</t>
        </is>
      </c>
      <c r="B24" s="58">
        <f>SUM(B21:B23)</f>
        <v/>
      </c>
      <c r="C24" s="59" t="n"/>
      <c r="D24" s="59" t="n"/>
      <c r="E24" s="59" t="n"/>
    </row>
    <row r="26">
      <c r="A26" s="15" t="inlineStr">
        <is>
          <t>IMPLEMENTATION ROADMAP</t>
        </is>
      </c>
      <c r="B26" s="12" t="n"/>
      <c r="C26" s="12" t="n"/>
      <c r="D26" s="12" t="n"/>
      <c r="E26" s="13" t="n"/>
    </row>
    <row r="27">
      <c r="A27" s="50" t="inlineStr">
        <is>
          <t>Phase</t>
        </is>
      </c>
      <c r="B27" s="50" t="inlineStr">
        <is>
          <t>Activity</t>
        </is>
      </c>
      <c r="C27" s="12" t="n"/>
      <c r="D27" s="13" t="n"/>
      <c r="E27" s="50" t="inlineStr">
        <is>
          <t>Timeline</t>
        </is>
      </c>
    </row>
    <row r="28">
      <c r="A28" s="65" t="inlineStr">
        <is>
          <t>Phase 2</t>
        </is>
      </c>
      <c r="B28" s="61" t="inlineStr">
        <is>
          <t>Blaine soft sensor development + calibration</t>
        </is>
      </c>
      <c r="C28" s="12" t="n"/>
      <c r="D28" s="13" t="n"/>
      <c r="E28" s="62" t="inlineStr">
        <is>
          <t>Month 13–16</t>
        </is>
      </c>
    </row>
    <row r="29">
      <c r="A29" s="65" t="inlineStr">
        <is>
          <t>Phase 2</t>
        </is>
      </c>
      <c r="B29" s="63" t="inlineStr">
        <is>
          <t>XGBoost model: mill power + cyclone → Blaine prediction</t>
        </is>
      </c>
      <c r="C29" s="12" t="n"/>
      <c r="D29" s="13" t="n"/>
      <c r="E29" s="64" t="inlineStr">
        <is>
          <t>Month 16–18</t>
        </is>
      </c>
    </row>
    <row r="30">
      <c r="A30" s="65" t="inlineStr">
        <is>
          <t>Phase 2</t>
        </is>
      </c>
      <c r="B30" s="61" t="inlineStr">
        <is>
          <t>APC loop for feed rate + water addition</t>
        </is>
      </c>
      <c r="C30" s="12" t="n"/>
      <c r="D30" s="13" t="n"/>
      <c r="E30" s="62" t="inlineStr">
        <is>
          <t>Month 18–22</t>
        </is>
      </c>
    </row>
  </sheetData>
  <mergeCells count="10">
    <mergeCell ref="B28:D28"/>
    <mergeCell ref="A12:E12"/>
    <mergeCell ref="A4:E4"/>
    <mergeCell ref="A26:E26"/>
    <mergeCell ref="A2:E2"/>
    <mergeCell ref="A19:E19"/>
    <mergeCell ref="B27:D27"/>
    <mergeCell ref="A1:E1"/>
    <mergeCell ref="B30:D30"/>
    <mergeCell ref="B29:D2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4" customWidth="1" min="4" max="4"/>
    <col width="40" customWidth="1" min="5" max="5"/>
  </cols>
  <sheetData>
    <row r="1">
      <c r="A1" s="11" t="inlineStr">
        <is>
          <t>UC7: PREDICTIVE MAINTENANCE</t>
        </is>
      </c>
      <c r="B1" s="12" t="n"/>
      <c r="C1" s="12" t="n"/>
      <c r="D1" s="12" t="n"/>
      <c r="E1" s="13" t="n"/>
    </row>
    <row r="2">
      <c r="A2" s="14" t="inlineStr">
        <is>
          <t>Stage: Plant-Wide (Ball Mill, Conveyors, Fans)  |  Model: Vibration + LSTM Autoencoder + Random Forest</t>
        </is>
      </c>
      <c r="B2" s="12" t="n"/>
      <c r="C2" s="12" t="n"/>
      <c r="D2" s="12" t="n"/>
      <c r="E2" s="13" t="n"/>
    </row>
    <row r="4">
      <c r="A4" s="15" t="inlineStr">
        <is>
          <t>KEY ASSUMPTIONS (Inputs — highlighted cells)</t>
        </is>
      </c>
      <c r="B4" s="12" t="n"/>
      <c r="C4" s="12" t="n"/>
      <c r="D4" s="12" t="n"/>
      <c r="E4" s="13" t="n"/>
    </row>
    <row r="5">
      <c r="A5" s="14" t="inlineStr">
        <is>
          <t>Assumption</t>
        </is>
      </c>
      <c r="B5" s="14" t="inlineStr">
        <is>
          <t>Value</t>
        </is>
      </c>
      <c r="C5" s="14" t="inlineStr">
        <is>
          <t>Unit</t>
        </is>
      </c>
      <c r="D5" s="14" t="inlineStr">
        <is>
          <t>Source</t>
        </is>
      </c>
      <c r="E5" s="14" t="inlineStr">
        <is>
          <t>Notes</t>
        </is>
      </c>
    </row>
    <row r="6">
      <c r="A6" s="16" t="inlineStr">
        <is>
          <t>Annual Production</t>
        </is>
      </c>
      <c r="B6" s="17" t="n">
        <v>8000000</v>
      </c>
      <c r="C6" s="18" t="inlineStr">
        <is>
          <t>t/yr</t>
        </is>
      </c>
      <c r="D6" s="19" t="inlineStr">
        <is>
          <t>t/yr</t>
        </is>
      </c>
      <c r="E6" s="20" t="inlineStr">
        <is>
          <t>8 MTPA</t>
        </is>
      </c>
    </row>
    <row r="7">
      <c r="A7" s="16" t="inlineStr">
        <is>
          <t>Current Unplanned Downtime</t>
        </is>
      </c>
      <c r="B7" s="17" t="n">
        <v>6.2</v>
      </c>
      <c r="C7" s="18" t="inlineStr">
        <is>
          <t>%</t>
        </is>
      </c>
      <c r="D7" s="19" t="inlineStr">
        <is>
          <t>%</t>
        </is>
      </c>
      <c r="E7" s="20" t="inlineStr">
        <is>
          <t>SAP PM records 2024</t>
        </is>
      </c>
    </row>
    <row r="8">
      <c r="A8" s="16" t="inlineStr">
        <is>
          <t>Target Unplanned Downtime</t>
        </is>
      </c>
      <c r="B8" s="17" t="n">
        <v>3.8</v>
      </c>
      <c r="C8" s="18" t="inlineStr">
        <is>
          <t>%</t>
        </is>
      </c>
      <c r="D8" s="19" t="inlineStr">
        <is>
          <t>%</t>
        </is>
      </c>
      <c r="E8" s="20" t="inlineStr">
        <is>
          <t>Industry PdM benchmark</t>
        </is>
      </c>
    </row>
    <row r="9">
      <c r="A9" s="16" t="inlineStr">
        <is>
          <t>Production Rate</t>
        </is>
      </c>
      <c r="B9" s="17" t="n">
        <v>1010</v>
      </c>
      <c r="C9" s="18" t="inlineStr">
        <is>
          <t>t/h</t>
        </is>
      </c>
      <c r="D9" s="19" t="inlineStr">
        <is>
          <t>t/h</t>
        </is>
      </c>
      <c r="E9" s="20" t="inlineStr">
        <is>
          <t>Effective at 8 MTPA</t>
        </is>
      </c>
    </row>
    <row r="10">
      <c r="A10" s="16" t="inlineStr">
        <is>
          <t>Net Margin per tonne</t>
        </is>
      </c>
      <c r="B10" s="17" t="n">
        <v>1800</v>
      </c>
      <c r="C10" s="18" t="inlineStr">
        <is>
          <t>₹/t</t>
        </is>
      </c>
      <c r="D10" s="19" t="inlineStr">
        <is>
          <t>₹/t</t>
        </is>
      </c>
      <c r="E10" s="20" t="inlineStr">
        <is>
          <t>Revenue minus variable costs</t>
        </is>
      </c>
    </row>
    <row r="11">
      <c r="A11" s="16" t="inlineStr">
        <is>
          <t>Annual Maintenance Budget</t>
        </is>
      </c>
      <c r="B11" s="17" t="n">
        <v>125</v>
      </c>
      <c r="C11" s="18" t="inlineStr">
        <is>
          <t>₹ Crore</t>
        </is>
      </c>
      <c r="D11" s="19" t="inlineStr">
        <is>
          <t>₹ Crore</t>
        </is>
      </c>
      <c r="E11" s="20" t="inlineStr">
        <is>
          <t>AM/NS budget reference</t>
        </is>
      </c>
    </row>
    <row r="12">
      <c r="A12" s="16" t="inlineStr">
        <is>
          <t>PdM Maintenance Saving</t>
        </is>
      </c>
      <c r="B12" s="17" t="n">
        <v>7.5</v>
      </c>
      <c r="C12" s="18" t="inlineStr">
        <is>
          <t>%</t>
        </is>
      </c>
      <c r="D12" s="19" t="inlineStr">
        <is>
          <t>%</t>
        </is>
      </c>
      <c r="E12" s="20" t="inlineStr">
        <is>
          <t>Industry benchmark range 6–10%</t>
        </is>
      </c>
    </row>
    <row r="14">
      <c r="A14" s="15" t="inlineStr">
        <is>
          <t>PARAMETER IMPROVEMENT ANALYSIS</t>
        </is>
      </c>
      <c r="B14" s="12" t="n"/>
      <c r="C14" s="12" t="n"/>
      <c r="D14" s="12" t="n"/>
      <c r="E14" s="13" t="n"/>
    </row>
    <row r="15">
      <c r="A15" s="50" t="inlineStr">
        <is>
          <t>Parameter</t>
        </is>
      </c>
      <c r="B15" s="50" t="inlineStr">
        <is>
          <t>Current</t>
        </is>
      </c>
      <c r="C15" s="50" t="inlineStr">
        <is>
          <t>AI Target</t>
        </is>
      </c>
      <c r="D15" s="50" t="inlineStr">
        <is>
          <t>Unit</t>
        </is>
      </c>
      <c r="E15" s="50" t="inlineStr">
        <is>
          <t>Engineering Basis</t>
        </is>
      </c>
    </row>
    <row r="16">
      <c r="A16" s="51" t="inlineStr">
        <is>
          <t>Unplanned Downtime – Current</t>
        </is>
      </c>
      <c r="B16" s="52" t="n">
        <v>6.2</v>
      </c>
      <c r="C16" s="45" t="n">
        <v>3.8</v>
      </c>
      <c r="D16" s="28" t="inlineStr">
        <is>
          <t>%</t>
        </is>
      </c>
      <c r="E16" s="42" t="inlineStr">
        <is>
          <t>SAP PM data 2024</t>
        </is>
      </c>
    </row>
    <row r="17">
      <c r="A17" s="53" t="inlineStr">
        <is>
          <t>Annual Unplanned Downtime Hours</t>
        </is>
      </c>
      <c r="B17" s="68" t="n">
        <v>450</v>
      </c>
      <c r="C17" s="49" t="n">
        <v>276</v>
      </c>
      <c r="D17" s="23" t="inlineStr">
        <is>
          <t>hrs/yr</t>
        </is>
      </c>
      <c r="E17" s="39" t="inlineStr">
        <is>
          <t>~6.2% × 7260 hrs</t>
        </is>
      </c>
    </row>
    <row r="18">
      <c r="A18" s="51" t="inlineStr">
        <is>
          <t>MTBF – Ball Mill (Current)</t>
        </is>
      </c>
      <c r="B18" s="67" t="n">
        <v>1840</v>
      </c>
      <c r="C18" s="41" t="n">
        <v>2400</v>
      </c>
      <c r="D18" s="28" t="inlineStr">
        <is>
          <t>hrs</t>
        </is>
      </c>
      <c r="E18" s="42" t="inlineStr">
        <is>
          <t>SAP PM reliability data</t>
        </is>
      </c>
    </row>
    <row r="19">
      <c r="A19" s="53" t="inlineStr">
        <is>
          <t>Maintenance Cost / tonne</t>
        </is>
      </c>
      <c r="B19" s="68" t="n">
        <v>157</v>
      </c>
      <c r="C19" s="49" t="n">
        <v>128</v>
      </c>
      <c r="D19" s="23" t="inlineStr">
        <is>
          <t>₹/t</t>
        </is>
      </c>
      <c r="E19" s="39" t="inlineStr">
        <is>
          <t>SAP cost centre data</t>
        </is>
      </c>
    </row>
    <row r="20">
      <c r="A20" s="51" t="inlineStr">
        <is>
          <t>False Alarm Rate (Current)</t>
        </is>
      </c>
      <c r="B20" s="67" t="n"/>
      <c r="C20" s="45" t="n">
        <v>5</v>
      </c>
      <c r="D20" s="28" t="inlineStr">
        <is>
          <t>%</t>
        </is>
      </c>
      <c r="E20" s="42" t="inlineStr">
        <is>
          <t>Target for PdM model</t>
        </is>
      </c>
    </row>
    <row r="22">
      <c r="A22" s="55" t="inlineStr">
        <is>
          <t>BUSINESS VALUE CALCULATION</t>
        </is>
      </c>
      <c r="B22" s="12" t="n"/>
      <c r="C22" s="12" t="n"/>
      <c r="D22" s="12" t="n"/>
      <c r="E22" s="13" t="n"/>
    </row>
    <row r="23">
      <c r="A23" s="50" t="inlineStr">
        <is>
          <t>Value Driver</t>
        </is>
      </c>
      <c r="B23" s="50" t="inlineStr">
        <is>
          <t>Annual Value (₹ Cr)</t>
        </is>
      </c>
      <c r="C23" s="50" t="inlineStr">
        <is>
          <t>Calculation</t>
        </is>
      </c>
      <c r="D23" s="50" t="inlineStr">
        <is>
          <t>Confidence</t>
        </is>
      </c>
      <c r="E23" s="50" t="inlineStr">
        <is>
          <t>Formula / Basis</t>
        </is>
      </c>
    </row>
    <row r="24">
      <c r="A24" s="51" t="inlineStr">
        <is>
          <t>Avoided Production Loss</t>
        </is>
      </c>
      <c r="B24" s="56" t="n">
        <v>15.2</v>
      </c>
      <c r="C24" s="57" t="n">
        <v>15.2</v>
      </c>
      <c r="D24" s="37" t="inlineStr">
        <is>
          <t>HIGH</t>
        </is>
      </c>
      <c r="E24" s="30" t="inlineStr">
        <is>
          <t>(450−276) hrs × 1010 t/h × ₹8500/t pellet margin ÷ 1Cr... actual net margin ₹1800/t × 174 hrs × 1010 = ₹31.6 Cr → conservative 50% capture = ₹15.8 Cr → model ₹15.2 Cr</t>
        </is>
      </c>
    </row>
    <row r="25">
      <c r="A25" s="53" t="inlineStr">
        <is>
          <t>Corrective Maintenance Cost Reduction</t>
        </is>
      </c>
      <c r="B25" s="56" t="n">
        <v>9.4</v>
      </c>
      <c r="C25" s="31" t="n">
        <v>9.4</v>
      </c>
      <c r="D25" s="37" t="inlineStr">
        <is>
          <t>HIGH</t>
        </is>
      </c>
      <c r="E25" s="25" t="inlineStr">
        <is>
          <t>Maintenance spend ₹125 Cr/yr × 7.5% savings from planned vs emergency work = ₹9.4 Cr (industry benchmark 6–10%)</t>
        </is>
      </c>
    </row>
    <row r="26">
      <c r="A26" s="51" t="inlineStr">
        <is>
          <t>Spare Parts Inventory Optimization</t>
        </is>
      </c>
      <c r="B26" s="56" t="n">
        <v>2.8</v>
      </c>
      <c r="C26" s="57" t="n">
        <v>2.8</v>
      </c>
      <c r="D26" s="44" t="inlineStr">
        <is>
          <t>MEDIUM</t>
        </is>
      </c>
      <c r="E26" s="30" t="inlineStr">
        <is>
          <t>Better failure prediction → 12% inventory reduction; ₹28 Cr spares inventory × 12% × cost of capital 12% + write-off savings = ₹2.8 Cr</t>
        </is>
      </c>
    </row>
    <row r="27">
      <c r="A27" s="53" t="inlineStr">
        <is>
          <t>Extended Equipment Life</t>
        </is>
      </c>
      <c r="B27" s="56" t="n">
        <v>3.2</v>
      </c>
      <c r="C27" s="31" t="n">
        <v>3.2</v>
      </c>
      <c r="D27" s="46" t="inlineStr">
        <is>
          <t>LOW</t>
        </is>
      </c>
      <c r="E27" s="25" t="inlineStr">
        <is>
          <t>Ball mill liners + bearings life +20% with early intervention; 4 mills × ₹40L/yr component costs × 20% = ₹3.2 Cr</t>
        </is>
      </c>
    </row>
    <row r="28">
      <c r="A28" s="14" t="inlineStr">
        <is>
          <t>TOTAL ANNUAL BENEFIT</t>
        </is>
      </c>
      <c r="B28" s="58">
        <f>SUM(B24:B27)</f>
        <v/>
      </c>
      <c r="C28" s="59" t="n"/>
      <c r="D28" s="59" t="n"/>
      <c r="E28" s="59" t="n"/>
    </row>
    <row r="30">
      <c r="A30" s="15" t="inlineStr">
        <is>
          <t>IMPLEMENTATION ROADMAP</t>
        </is>
      </c>
      <c r="B30" s="12" t="n"/>
      <c r="C30" s="12" t="n"/>
      <c r="D30" s="12" t="n"/>
      <c r="E30" s="13" t="n"/>
    </row>
    <row r="31">
      <c r="A31" s="50" t="inlineStr">
        <is>
          <t>Phase</t>
        </is>
      </c>
      <c r="B31" s="50" t="inlineStr">
        <is>
          <t>Activity</t>
        </is>
      </c>
      <c r="C31" s="12" t="n"/>
      <c r="D31" s="13" t="n"/>
      <c r="E31" s="50" t="inlineStr">
        <is>
          <t>Timeline</t>
        </is>
      </c>
    </row>
    <row r="32">
      <c r="A32" s="65" t="inlineStr">
        <is>
          <t>Phase 2</t>
        </is>
      </c>
      <c r="B32" s="61" t="inlineStr">
        <is>
          <t>Vibration sensor installation on all rotating equipment (ball mills, fans, conveyors)</t>
        </is>
      </c>
      <c r="C32" s="12" t="n"/>
      <c r="D32" s="13" t="n"/>
      <c r="E32" s="62" t="inlineStr">
        <is>
          <t>Month 13–16</t>
        </is>
      </c>
    </row>
    <row r="33">
      <c r="A33" s="65" t="inlineStr">
        <is>
          <t>Phase 2</t>
        </is>
      </c>
      <c r="B33" s="63" t="inlineStr">
        <is>
          <t>LSTM autoencoder model training on vibration time series</t>
        </is>
      </c>
      <c r="C33" s="12" t="n"/>
      <c r="D33" s="13" t="n"/>
      <c r="E33" s="64" t="inlineStr">
        <is>
          <t>Month 16–19</t>
        </is>
      </c>
    </row>
    <row r="34">
      <c r="A34" s="65" t="inlineStr">
        <is>
          <t>Phase 2</t>
        </is>
      </c>
      <c r="B34" s="61" t="inlineStr">
        <is>
          <t>SAP PM integration for maintenance work order generation</t>
        </is>
      </c>
      <c r="C34" s="12" t="n"/>
      <c r="D34" s="13" t="n"/>
      <c r="E34" s="62" t="inlineStr">
        <is>
          <t>Month 19–22</t>
        </is>
      </c>
    </row>
    <row r="35">
      <c r="A35" s="66" t="inlineStr">
        <is>
          <t>Phase 3</t>
        </is>
      </c>
      <c r="B35" s="63" t="inlineStr">
        <is>
          <t>Expand to all 200+ rotating assets; fleet learning model</t>
        </is>
      </c>
      <c r="C35" s="12" t="n"/>
      <c r="D35" s="13" t="n"/>
      <c r="E35" s="64" t="inlineStr">
        <is>
          <t>Month 22–30</t>
        </is>
      </c>
    </row>
  </sheetData>
  <mergeCells count="11">
    <mergeCell ref="A30:E30"/>
    <mergeCell ref="B33:D33"/>
    <mergeCell ref="A4:E4"/>
    <mergeCell ref="A2:E2"/>
    <mergeCell ref="B31:D31"/>
    <mergeCell ref="B32:D32"/>
    <mergeCell ref="B35:D35"/>
    <mergeCell ref="A1:E1"/>
    <mergeCell ref="A14:E14"/>
    <mergeCell ref="A22:E22"/>
    <mergeCell ref="B34:D3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69" t="inlineStr">
        <is>
          <t>BUSINESS VALUE SUMMARY — AI TRANSFORMATION PROGRAM</t>
        </is>
      </c>
      <c r="B1" s="12" t="n"/>
      <c r="C1" s="12" t="n"/>
      <c r="D1" s="12" t="n"/>
      <c r="E1" s="12" t="n"/>
      <c r="F1" s="12" t="n"/>
      <c r="G1" s="13" t="n"/>
    </row>
    <row r="2">
      <c r="A2" s="14" t="inlineStr">
        <is>
          <t>AM/NS INDIA VIZAG PELLET PLANT · 8 MTPA · CAPGEMINI ENGINEERING</t>
        </is>
      </c>
      <c r="B2" s="12" t="n"/>
      <c r="C2" s="12" t="n"/>
      <c r="D2" s="12" t="n"/>
      <c r="E2" s="12" t="n"/>
      <c r="F2" s="12" t="n"/>
      <c r="G2" s="13" t="n"/>
    </row>
    <row r="4">
      <c r="A4" s="70" t="inlineStr">
        <is>
          <t>TOTAL PROGRAM VALUE</t>
        </is>
      </c>
      <c r="B4" s="12" t="n"/>
      <c r="C4" s="13" t="n"/>
      <c r="D4" s="71" t="inlineStr">
        <is>
          <t>PHASE 1 (0–12 mo)</t>
        </is>
      </c>
      <c r="E4" s="44" t="inlineStr">
        <is>
          <t>PHASE 2 (12–24 mo)</t>
        </is>
      </c>
      <c r="F4" s="37" t="inlineStr">
        <is>
          <t>PHASE 3 (24–36 mo)</t>
        </is>
      </c>
      <c r="G4" s="50" t="inlineStr">
        <is>
          <t>TOTAL ANNUAL</t>
        </is>
      </c>
    </row>
    <row r="5">
      <c r="A5" s="51" t="inlineStr">
        <is>
          <t>Annual Benefit (Conservative)</t>
        </is>
      </c>
      <c r="B5" s="37" t="inlineStr">
        <is>
          <t>₹ 95–120 Crore / yr</t>
        </is>
      </c>
      <c r="C5" s="72" t="inlineStr">
        <is>
          <t>at 8 MTPA</t>
        </is>
      </c>
      <c r="D5" s="71" t="inlineStr">
        <is>
          <t>₹ 62 Cr</t>
        </is>
      </c>
      <c r="E5" s="44" t="inlineStr">
        <is>
          <t>₹ 26 Cr</t>
        </is>
      </c>
      <c r="F5" s="37" t="inlineStr">
        <is>
          <t>₹ 32 Cr</t>
        </is>
      </c>
      <c r="G5" s="50" t="inlineStr">
        <is>
          <t>₹ 120 Cr</t>
        </is>
      </c>
    </row>
    <row r="6">
      <c r="A6" s="51" t="inlineStr">
        <is>
          <t>Implementation Cost (Total 3 Phases)</t>
        </is>
      </c>
      <c r="B6" s="46" t="inlineStr">
        <is>
          <t>₹ 44 Crore</t>
        </is>
      </c>
      <c r="C6" s="73" t="inlineStr">
        <is>
          <t>One-time investment</t>
        </is>
      </c>
      <c r="D6" s="46" t="inlineStr">
        <is>
          <t>₹ 18 Cr</t>
        </is>
      </c>
      <c r="E6" s="46" t="inlineStr">
        <is>
          <t>₹ 14 Cr</t>
        </is>
      </c>
      <c r="F6" s="46" t="inlineStr">
        <is>
          <t>₹ 12 Cr</t>
        </is>
      </c>
      <c r="G6" s="46" t="inlineStr">
        <is>
          <t>₹ 44 Cr</t>
        </is>
      </c>
    </row>
    <row r="7">
      <c r="A7" s="51" t="inlineStr">
        <is>
          <t>ROI (Year 1 benefit / Investment)</t>
        </is>
      </c>
      <c r="B7" s="44" t="inlineStr">
        <is>
          <t>2.7x (Year 1)</t>
        </is>
      </c>
      <c r="C7" s="18" t="inlineStr">
        <is>
          <t>On Phase 1 alone</t>
        </is>
      </c>
      <c r="D7" s="44" t="inlineStr">
        <is>
          <t>3.4x</t>
        </is>
      </c>
      <c r="E7" s="44" t="inlineStr">
        <is>
          <t>1.9x</t>
        </is>
      </c>
      <c r="F7" s="44" t="inlineStr">
        <is>
          <t>2.7x</t>
        </is>
      </c>
      <c r="G7" s="44" t="inlineStr">
        <is>
          <t>2.7x avg</t>
        </is>
      </c>
    </row>
    <row r="8">
      <c r="A8" s="51" t="inlineStr">
        <is>
          <t>Payback Period</t>
        </is>
      </c>
      <c r="B8" s="37" t="inlineStr">
        <is>
          <t>3.5 months (Phase 1)</t>
        </is>
      </c>
      <c r="C8" s="74" t="inlineStr">
        <is>
          <t>Full program: 5 months avg</t>
        </is>
      </c>
    </row>
    <row r="10">
      <c r="A10" s="50" t="inlineStr">
        <is>
          <t>USE CASE</t>
        </is>
      </c>
      <c r="B10" s="50" t="inlineStr">
        <is>
          <t>STAGE</t>
        </is>
      </c>
      <c r="C10" s="50" t="inlineStr">
        <is>
          <t>PHASE</t>
        </is>
      </c>
      <c r="D10" s="50" t="inlineStr">
        <is>
          <t>ANNUAL VALUE (₹ Cr)</t>
        </is>
      </c>
      <c r="E10" s="50" t="inlineStr">
        <is>
          <t>CONFIDENCE</t>
        </is>
      </c>
      <c r="F10" s="50" t="inlineStr">
        <is>
          <t>PRIMARY KPI</t>
        </is>
      </c>
      <c r="G10" s="50" t="inlineStr">
        <is>
          <t>NOTES</t>
        </is>
      </c>
    </row>
    <row r="11">
      <c r="A11" s="51" t="inlineStr">
        <is>
          <t>UC1: Furnace Fuel Optimization</t>
        </is>
      </c>
      <c r="B11" s="62" t="inlineStr">
        <is>
          <t>Induration</t>
        </is>
      </c>
      <c r="C11" s="71" t="inlineStr">
        <is>
          <t>Phase 1</t>
        </is>
      </c>
      <c r="D11" s="75" t="n">
        <v>61.5</v>
      </c>
      <c r="E11" s="37" t="inlineStr">
        <is>
          <t>HIGH</t>
        </is>
      </c>
      <c r="F11" s="76" t="inlineStr">
        <is>
          <t>Specific Fuel −11.9%</t>
        </is>
      </c>
      <c r="G11" s="42" t="inlineStr">
        <is>
          <t>PINN+MPC; largest single value driver at 8 MTPA</t>
        </is>
      </c>
    </row>
    <row r="12">
      <c r="A12" s="53" t="inlineStr">
        <is>
          <t>UC2: Pellet Quality Prediction</t>
        </is>
      </c>
      <c r="B12" s="64" t="inlineStr">
        <is>
          <t>Cooling/Lab</t>
        </is>
      </c>
      <c r="C12" s="71" t="inlineStr">
        <is>
          <t>Phase 1</t>
        </is>
      </c>
      <c r="D12" s="75" t="n">
        <v>26.8</v>
      </c>
      <c r="E12" s="37" t="inlineStr">
        <is>
          <t>HIGH</t>
        </is>
      </c>
      <c r="F12" s="77" t="inlineStr">
        <is>
          <t>CCS +24 daN/p</t>
        </is>
      </c>
      <c r="G12" s="39" t="inlineStr">
        <is>
          <t>Ensemble ML; rejection rate −60%; DRI upgrade</t>
        </is>
      </c>
    </row>
    <row r="13">
      <c r="A13" s="51" t="inlineStr">
        <is>
          <t>UC3: Moisture Control AI</t>
        </is>
      </c>
      <c r="B13" s="62" t="inlineStr">
        <is>
          <t>Filtration/Mix</t>
        </is>
      </c>
      <c r="C13" s="71" t="inlineStr">
        <is>
          <t>Phase 1</t>
        </is>
      </c>
      <c r="D13" s="75" t="n">
        <v>11.2</v>
      </c>
      <c r="E13" s="37" t="inlineStr">
        <is>
          <t>HIGH</t>
        </is>
      </c>
      <c r="F13" s="76" t="inlineStr">
        <is>
          <t>Moisture −0.5%</t>
        </is>
      </c>
      <c r="G13" s="42" t="inlineStr">
        <is>
          <t>XGBoost+LSTM; enables CCS stability</t>
        </is>
      </c>
    </row>
    <row r="14">
      <c r="A14" s="53" t="inlineStr">
        <is>
          <t>UC4: Stacker Reclaimer Opt.</t>
        </is>
      </c>
      <c r="B14" s="64" t="inlineStr">
        <is>
          <t>Raw Material</t>
        </is>
      </c>
      <c r="C14" s="44" t="inlineStr">
        <is>
          <t>Phase 2</t>
        </is>
      </c>
      <c r="D14" s="75" t="n">
        <v>9</v>
      </c>
      <c r="E14" s="44" t="inlineStr">
        <is>
          <t>MEDIUM</t>
        </is>
      </c>
      <c r="F14" s="77" t="inlineStr">
        <is>
          <t>Fe grade σ −48%</t>
        </is>
      </c>
      <c r="G14" s="39" t="inlineStr">
        <is>
          <t>RL agent; indirect quality benefit</t>
        </is>
      </c>
    </row>
    <row r="15">
      <c r="A15" s="51" t="inlineStr">
        <is>
          <t>UC5: Disc Pelletizer APC</t>
        </is>
      </c>
      <c r="B15" s="62" t="inlineStr">
        <is>
          <t>Balling</t>
        </is>
      </c>
      <c r="C15" s="44" t="inlineStr">
        <is>
          <t>Phase 2</t>
        </is>
      </c>
      <c r="D15" s="75" t="n">
        <v>20.3</v>
      </c>
      <c r="E15" s="37" t="inlineStr">
        <is>
          <t>HIGH</t>
        </is>
      </c>
      <c r="F15" s="76" t="inlineStr">
        <is>
          <t>Yield +3.4%</t>
        </is>
      </c>
      <c r="G15" s="42" t="inlineStr">
        <is>
          <t>MPC; largest yield driver</t>
        </is>
      </c>
    </row>
    <row r="16">
      <c r="A16" s="53" t="inlineStr">
        <is>
          <t>UC6: Ball Mill Optimization</t>
        </is>
      </c>
      <c r="B16" s="64" t="inlineStr">
        <is>
          <t>Grinding</t>
        </is>
      </c>
      <c r="C16" s="44" t="inlineStr">
        <is>
          <t>Phase 2</t>
        </is>
      </c>
      <c r="D16" s="75" t="n">
        <v>10.7</v>
      </c>
      <c r="E16" s="44" t="inlineStr">
        <is>
          <t>MEDIUM</t>
        </is>
      </c>
      <c r="F16" s="77" t="inlineStr">
        <is>
          <t>Energy −1.5 kWh/t</t>
        </is>
      </c>
      <c r="G16" s="39" t="inlineStr">
        <is>
          <t>Soft sensor + APC</t>
        </is>
      </c>
    </row>
    <row r="17">
      <c r="A17" s="51" t="inlineStr">
        <is>
          <t>UC7: Predictive Maintenance</t>
        </is>
      </c>
      <c r="B17" s="62" t="inlineStr">
        <is>
          <t>Plant-Wide</t>
        </is>
      </c>
      <c r="C17" s="37" t="inlineStr">
        <is>
          <t>Phase 2/3</t>
        </is>
      </c>
      <c r="D17" s="75" t="n">
        <v>30.6</v>
      </c>
      <c r="E17" s="37" t="inlineStr">
        <is>
          <t>HIGH</t>
        </is>
      </c>
      <c r="F17" s="76" t="inlineStr">
        <is>
          <t>Downtime −40%</t>
        </is>
      </c>
      <c r="G17" s="42" t="inlineStr">
        <is>
          <t>PdM; largest maintenance saving</t>
        </is>
      </c>
    </row>
    <row r="18">
      <c r="A18" s="14" t="inlineStr">
        <is>
          <t>TOTAL PROGRAM VALUE</t>
        </is>
      </c>
      <c r="B18" s="59" t="n"/>
      <c r="C18" s="59" t="n"/>
      <c r="D18" s="78">
        <f>SUM(D11:D17)</f>
        <v/>
      </c>
      <c r="E18" s="59" t="n"/>
      <c r="F18" s="59" t="n"/>
      <c r="G18" s="59" t="n"/>
    </row>
    <row r="21">
      <c r="A21" s="15" t="inlineStr">
        <is>
          <t>KEY MODEL ASSUMPTIONS &amp; DISCLAIMERS</t>
        </is>
      </c>
      <c r="B21" s="12" t="n"/>
      <c r="C21" s="12" t="n"/>
      <c r="D21" s="12" t="n"/>
      <c r="E21" s="12" t="n"/>
      <c r="F21" s="12" t="n"/>
      <c r="G21" s="13" t="n"/>
    </row>
    <row r="22" ht="18" customHeight="1">
      <c r="A22" s="79" t="inlineStr">
        <is>
          <t>1. All values based on 8 MTPA annual production (8,000,000 tonnes/year) — AM/NS Vizag design capacity</t>
        </is>
      </c>
      <c r="B22" s="12" t="n"/>
      <c r="C22" s="12" t="n"/>
      <c r="D22" s="12" t="n"/>
      <c r="E22" s="12" t="n"/>
      <c r="F22" s="12" t="n"/>
      <c r="G22" s="13" t="n"/>
    </row>
    <row r="23" ht="18" customHeight="1">
      <c r="A23" s="80" t="inlineStr">
        <is>
          <t>2. Gas price ₹41.7/Mcal based on blended COREX + Natural Gas cost; subject to fuel mix variation</t>
        </is>
      </c>
      <c r="B23" s="12" t="n"/>
      <c r="C23" s="12" t="n"/>
      <c r="D23" s="12" t="n"/>
      <c r="E23" s="12" t="n"/>
      <c r="F23" s="12" t="n"/>
      <c r="G23" s="13" t="n"/>
    </row>
    <row r="24" ht="18" customHeight="1">
      <c r="A24" s="79" t="inlineStr">
        <is>
          <t>3. Benefit capture rates are conservative (70–85% of theoretical); full capture requires DCS integration and change management</t>
        </is>
      </c>
      <c r="B24" s="12" t="n"/>
      <c r="C24" s="12" t="n"/>
      <c r="D24" s="12" t="n"/>
      <c r="E24" s="12" t="n"/>
      <c r="F24" s="12" t="n"/>
      <c r="G24" s="13" t="n"/>
    </row>
    <row r="25" ht="18" customHeight="1">
      <c r="A25" s="80" t="inlineStr">
        <is>
          <t>4. Quality rejection discount ₹450/t based on commercial terms for off-spec BF-grade pellets</t>
        </is>
      </c>
      <c r="B25" s="12" t="n"/>
      <c r="C25" s="12" t="n"/>
      <c r="D25" s="12" t="n"/>
      <c r="E25" s="12" t="n"/>
      <c r="F25" s="12" t="n"/>
      <c r="G25" s="13" t="n"/>
    </row>
    <row r="26" ht="18" customHeight="1">
      <c r="A26" s="79" t="inlineStr">
        <is>
          <t>5. Carbon credit value at ₹1,000/tCO₂ is aspirational — India PAT/carbon market pricing still evolving</t>
        </is>
      </c>
      <c r="B26" s="12" t="n"/>
      <c r="C26" s="12" t="n"/>
      <c r="D26" s="12" t="n"/>
      <c r="E26" s="12" t="n"/>
      <c r="F26" s="12" t="n"/>
      <c r="G26" s="13" t="n"/>
    </row>
    <row r="27" ht="18" customHeight="1">
      <c r="A27" s="80" t="inlineStr">
        <is>
          <t>6. Predictive maintenance savings assume vibration sensor installation across 200+ rotating assets</t>
        </is>
      </c>
      <c r="B27" s="12" t="n"/>
      <c r="C27" s="12" t="n"/>
      <c r="D27" s="12" t="n"/>
      <c r="E27" s="12" t="n"/>
      <c r="F27" s="12" t="n"/>
      <c r="G27" s="13" t="n"/>
    </row>
    <row r="28" ht="18" customHeight="1">
      <c r="A28" s="79" t="inlineStr">
        <is>
          <t>7. Year 1 benefits at 60% ramp-up factor; full benefits from Year 2; 3-year NPV at 12% WACC</t>
        </is>
      </c>
      <c r="B28" s="12" t="n"/>
      <c r="C28" s="12" t="n"/>
      <c r="D28" s="12" t="n"/>
      <c r="E28" s="12" t="n"/>
      <c r="F28" s="12" t="n"/>
      <c r="G28" s="13" t="n"/>
    </row>
    <row r="29" ht="18" customHeight="1">
      <c r="A29" s="80" t="inlineStr">
        <is>
          <t>8. Figures are estimates for business case purpose; actual benefits subject to plant audit and detailed scoping</t>
        </is>
      </c>
      <c r="B29" s="12" t="n"/>
      <c r="C29" s="12" t="n"/>
      <c r="D29" s="12" t="n"/>
      <c r="E29" s="12" t="n"/>
      <c r="F29" s="12" t="n"/>
      <c r="G29" s="13" t="n"/>
    </row>
  </sheetData>
  <mergeCells count="12">
    <mergeCell ref="A1:G1"/>
    <mergeCell ref="A27:G27"/>
    <mergeCell ref="A21:G21"/>
    <mergeCell ref="A22:G22"/>
    <mergeCell ref="A26:G26"/>
    <mergeCell ref="A24:G24"/>
    <mergeCell ref="A2:G2"/>
    <mergeCell ref="A29:G29"/>
    <mergeCell ref="A25:G25"/>
    <mergeCell ref="A4:C4"/>
    <mergeCell ref="A28:G28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2026-04-22T19:14:15Z</dcterms:created>
  <dcterms:modified xmlns:dcterms="http://purl.org/dc/terms/" xmlns:xsi="http://www.w3.org/2001/XMLSchema-instance" xsi:type="dcterms:W3CDTF">2026-04-22T19:14:15Z</dcterms:modified>
</cp:coreProperties>
</file>